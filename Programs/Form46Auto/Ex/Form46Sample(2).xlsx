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gor\source\repos\Form46Auto\Ex\"/>
    </mc:Choice>
  </mc:AlternateContent>
  <xr:revisionPtr revIDLastSave="0" documentId="13_ncr:1_{92F8A8C8-F610-4EB7-9122-F4825DBB7D8B}" xr6:coauthVersionLast="47" xr6:coauthVersionMax="47" xr10:uidLastSave="{00000000-0000-0000-0000-000000000000}"/>
  <bookViews>
    <workbookView xWindow="-108" yWindow="-108" windowWidth="23256" windowHeight="12456" tabRatio="572" xr2:uid="{00000000-000D-0000-FFFF-FFFF00000000}"/>
  </bookViews>
  <sheets>
    <sheet name="46 (2)" sheetId="2" r:id="rId1"/>
  </sheets>
  <externalReferences>
    <externalReference r:id="rId2"/>
    <externalReference r:id="rId3"/>
    <externalReference r:id="rId4"/>
  </externalReferences>
  <definedNames>
    <definedName name="начисление" localSheetId="0">#REF!</definedName>
    <definedName name="начисление">#REF!</definedName>
    <definedName name="Основная" localSheetId="0">#REF!</definedName>
    <definedName name="Основная">#REF!</definedName>
    <definedName name="сальдо_7" localSheetId="0">#REF!</definedName>
    <definedName name="сальдо_7">#REF!</definedName>
    <definedName name="Справочная_часть" localSheetId="0">#REF!</definedName>
    <definedName name="Справочная_часть">#REF!</definedName>
    <definedName name="тек._форма">'[1]Форма для заполнения и обсчета'!$B$1:$FG$65536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2" l="1"/>
  <c r="H19" i="2"/>
  <c r="G19" i="2"/>
  <c r="E19" i="2"/>
  <c r="D19" i="2"/>
  <c r="C19" i="2"/>
  <c r="J46" i="2"/>
  <c r="J45" i="2"/>
  <c r="J29" i="2"/>
  <c r="J28" i="2"/>
  <c r="F46" i="2"/>
  <c r="F45" i="2"/>
  <c r="F29" i="2"/>
  <c r="E29" i="2" s="1"/>
  <c r="F28" i="2"/>
  <c r="I46" i="2"/>
  <c r="I47" i="2"/>
  <c r="I45" i="2"/>
  <c r="I43" i="2"/>
  <c r="E46" i="2"/>
  <c r="E47" i="2"/>
  <c r="E45" i="2"/>
  <c r="E43" i="2"/>
  <c r="I29" i="2"/>
  <c r="I30" i="2"/>
  <c r="I28" i="2"/>
  <c r="I27" i="2" s="1"/>
  <c r="I26" i="2"/>
  <c r="E30" i="2"/>
  <c r="E28" i="2"/>
  <c r="E26" i="2"/>
  <c r="I10" i="2"/>
  <c r="I8" i="2" s="1"/>
  <c r="I11" i="2"/>
  <c r="I9" i="2"/>
  <c r="E11" i="2"/>
  <c r="E10" i="2"/>
  <c r="E9" i="2"/>
  <c r="J10" i="2"/>
  <c r="J9" i="2"/>
  <c r="F10" i="2"/>
  <c r="F9" i="2"/>
  <c r="F8" i="2" s="1"/>
  <c r="I7" i="2"/>
  <c r="E7" i="2"/>
  <c r="H71" i="2"/>
  <c r="G71" i="2"/>
  <c r="F82" i="2" s="1"/>
  <c r="E71" i="2"/>
  <c r="D71" i="2"/>
  <c r="E82" i="2" s="1"/>
  <c r="C71" i="2"/>
  <c r="D82" i="2" s="1"/>
  <c r="A60" i="2"/>
  <c r="H52" i="2"/>
  <c r="G52" i="2"/>
  <c r="F80" i="2" s="1"/>
  <c r="D52" i="2"/>
  <c r="E80" i="2" s="1"/>
  <c r="C52" i="2"/>
  <c r="D80" i="2" s="1"/>
  <c r="J44" i="2"/>
  <c r="H44" i="2"/>
  <c r="G44" i="2"/>
  <c r="F44" i="2"/>
  <c r="D44" i="2"/>
  <c r="C44" i="2"/>
  <c r="H35" i="2"/>
  <c r="G35" i="2"/>
  <c r="F79" i="2" s="1"/>
  <c r="D35" i="2"/>
  <c r="C35" i="2"/>
  <c r="J27" i="2"/>
  <c r="H27" i="2"/>
  <c r="G27" i="2"/>
  <c r="D27" i="2"/>
  <c r="C27" i="2"/>
  <c r="I20" i="2"/>
  <c r="F81" i="2"/>
  <c r="J8" i="2"/>
  <c r="H8" i="2"/>
  <c r="G8" i="2"/>
  <c r="E8" i="2"/>
  <c r="D8" i="2"/>
  <c r="E81" i="2" s="1"/>
  <c r="C8" i="2"/>
  <c r="C1" i="2" s="1"/>
  <c r="I44" i="2" l="1"/>
  <c r="I35" i="2"/>
  <c r="E44" i="2"/>
  <c r="A44" i="2" s="1"/>
  <c r="E27" i="2"/>
  <c r="F27" i="2"/>
  <c r="E35" i="2"/>
  <c r="D81" i="2"/>
  <c r="G81" i="2" s="1"/>
  <c r="A8" i="2"/>
  <c r="G82" i="2"/>
  <c r="D74" i="2"/>
  <c r="G80" i="2"/>
  <c r="F78" i="2"/>
  <c r="E79" i="2"/>
  <c r="E78" i="2" s="1"/>
  <c r="D79" i="2"/>
  <c r="E52" i="2" l="1"/>
  <c r="E74" i="2" s="1"/>
  <c r="A27" i="2"/>
  <c r="C74" i="2"/>
  <c r="G79" i="2"/>
  <c r="D78" i="2"/>
  <c r="G78" i="2" l="1"/>
</calcChain>
</file>

<file path=xl/sharedStrings.xml><?xml version="1.0" encoding="utf-8"?>
<sst xmlns="http://schemas.openxmlformats.org/spreadsheetml/2006/main" count="121" uniqueCount="30">
  <si>
    <t>Гкал</t>
  </si>
  <si>
    <t>руб</t>
  </si>
  <si>
    <t>Всего</t>
  </si>
  <si>
    <t>по ПУ</t>
  </si>
  <si>
    <t xml:space="preserve">расчетным </t>
  </si>
  <si>
    <t>перерасчеты</t>
  </si>
  <si>
    <t>Отпуск ТЭ потребителям с коллекторов электростанций (котельных)</t>
  </si>
  <si>
    <t>С коллектора прочие: Панкеева (ТЭ1807-00974)СТЭЦ</t>
  </si>
  <si>
    <t>Оренбург</t>
  </si>
  <si>
    <t>Отпуск произведенной (приобретённой) ТЭ потребителям через тепловую сеть</t>
  </si>
  <si>
    <t>Прочие, промышленные и приравненные к ним потребители</t>
  </si>
  <si>
    <t>Население и исполнители коммунальных услуг, всего:</t>
  </si>
  <si>
    <t>- на нужды отопления</t>
  </si>
  <si>
    <t xml:space="preserve">- на нужды горячего водоснабжения </t>
  </si>
  <si>
    <t>Бюджетные организации</t>
  </si>
  <si>
    <t>Другие теплосетевые и теплоснабжающие организации</t>
  </si>
  <si>
    <t>На компенсацию потерь ТЭ при её передаче организациями, оказывающими услуги по передаче ТЭ</t>
  </si>
  <si>
    <t>Отпуск в паре с коллекторов</t>
  </si>
  <si>
    <t>Отпуск в паре через тепловую сеть</t>
  </si>
  <si>
    <t>ИТОГО</t>
  </si>
  <si>
    <t>проверка</t>
  </si>
  <si>
    <t>Медногорск</t>
  </si>
  <si>
    <t>Орск</t>
  </si>
  <si>
    <t>Холодные Ключи (КТЭЦ)</t>
  </si>
  <si>
    <t>всего, Гкал</t>
  </si>
  <si>
    <t>кол-во ПУ</t>
  </si>
  <si>
    <t>всего, руб</t>
  </si>
  <si>
    <t>% оприборенности  населения из ННС февраля по (ГВС)</t>
  </si>
  <si>
    <t>КТЭЦ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</si>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</sst>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#,##0.000"/>
    <numFmt numFmtId="166" formatCode="#,##0.0000"/>
    <numFmt numFmtId="167" formatCode="_-* #,##0.0000\ _₽_-;\-* #,##0.0000\ _₽_-;_-* &quot;-&quot;??\ _₽_-;_-@_-"/>
    <numFmt numFmtId="168" formatCode="#,##0.00000"/>
    <numFmt numFmtId="169" formatCode="#,##0.0000000"/>
    <numFmt numFmtId="170" formatCode="0.0000"/>
    <numFmt numFmtId="171" formatCode="_-* #,##0.000000000\ _₽_-;\-* #,##0.000000000\ _₽_-;_-* &quot;-&quot;??\ _₽_-;_-@_-"/>
    <numFmt numFmtId="172" formatCode="#,##0.00000000000000"/>
  </numFmts>
  <fonts count="7" x14ac:knownFonts="1">
    <font>
      <sz val="11"/>
      <color theme="1"/>
      <name val="Calibri"/>
      <family val="2"/>
      <scheme val="minor"/>
    </font>
    <font>
      <sz val="10"/>
      <name val="Arial Cy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3" fillId="0" borderId="0"/>
  </cellStyleXfs>
  <cellXfs count="51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 wrapText="1"/>
    </xf>
    <xf numFmtId="4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1" xfId="0" applyNumberFormat="1" applyFont="1" applyFill="1" applyBorder="1" applyAlignment="1" applyProtection="1">
      <alignment horizontal="left" vertical="center" wrapText="1"/>
    </xf>
    <xf numFmtId="49" fontId="0" fillId="0" borderId="1" xfId="1" applyNumberFormat="1" applyFont="1" applyFill="1" applyBorder="1" applyAlignment="1" applyProtection="1">
      <alignment horizontal="left" vertical="center" wrapText="1"/>
    </xf>
    <xf numFmtId="164" fontId="0" fillId="0" borderId="0" xfId="2" applyNumberFormat="1" applyFont="1" applyFill="1" applyBorder="1" applyAlignment="1" applyProtection="1">
      <alignment vertical="center"/>
    </xf>
    <xf numFmtId="4" fontId="2" fillId="0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164" fontId="0" fillId="0" borderId="0" xfId="2" applyNumberFormat="1" applyFont="1" applyFill="1" applyBorder="1" applyAlignment="1" applyProtection="1">
      <alignment horizontal="center" vertical="center"/>
    </xf>
    <xf numFmtId="49" fontId="0" fillId="0" borderId="0" xfId="1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vertical="center"/>
    </xf>
    <xf numFmtId="164" fontId="0" fillId="4" borderId="0" xfId="2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4" fontId="0" fillId="0" borderId="0" xfId="0" applyNumberFormat="1" applyFont="1" applyFill="1" applyBorder="1" applyAlignment="1" applyProtection="1">
      <alignment vertical="center" wrapText="1"/>
    </xf>
    <xf numFmtId="164" fontId="2" fillId="0" borderId="0" xfId="2" applyNumberFormat="1" applyFont="1" applyFill="1" applyBorder="1" applyAlignment="1" applyProtection="1">
      <alignment vertical="center"/>
    </xf>
    <xf numFmtId="164" fontId="2" fillId="0" borderId="0" xfId="2" applyNumberFormat="1" applyFont="1" applyFill="1" applyBorder="1" applyAlignment="1" applyProtection="1">
      <alignment horizontal="center" vertical="center"/>
    </xf>
    <xf numFmtId="164" fontId="0" fillId="0" borderId="0" xfId="2" applyNumberFormat="1" applyFont="1" applyFill="1" applyBorder="1" applyAlignment="1" applyProtection="1">
      <alignment horizontal="center" vertical="center" wrapText="1"/>
    </xf>
    <xf numFmtId="164" fontId="0" fillId="0" borderId="0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166" fontId="4" fillId="0" borderId="1" xfId="0" applyNumberFormat="1" applyFont="1" applyFill="1" applyBorder="1" applyAlignment="1" applyProtection="1">
      <alignment horizontal="center" vertical="center"/>
    </xf>
    <xf numFmtId="4" fontId="4" fillId="0" borderId="1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69" fontId="0" fillId="0" borderId="1" xfId="0" applyNumberFormat="1" applyFont="1" applyFill="1" applyBorder="1" applyAlignment="1" applyProtection="1">
      <alignment horizontal="center" vertical="center"/>
    </xf>
    <xf numFmtId="4" fontId="0" fillId="0" borderId="1" xfId="0" applyNumberFormat="1" applyFont="1" applyFill="1" applyBorder="1" applyAlignment="1" applyProtection="1">
      <alignment horizontal="center" vertical="center"/>
    </xf>
    <xf numFmtId="170" fontId="0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2" applyNumberFormat="1" applyFont="1" applyFill="1" applyBorder="1" applyAlignment="1" applyProtection="1">
      <alignment vertical="center"/>
    </xf>
    <xf numFmtId="4" fontId="0" fillId="0" borderId="0" xfId="0" applyNumberFormat="1" applyFont="1" applyFill="1" applyBorder="1" applyAlignment="1" applyProtection="1">
      <alignment horizontal="center" vertical="center"/>
    </xf>
    <xf numFmtId="165" fontId="0" fillId="0" borderId="0" xfId="0" applyNumberFormat="1" applyFont="1" applyFill="1" applyBorder="1" applyAlignment="1" applyProtection="1">
      <alignment vertical="center"/>
    </xf>
    <xf numFmtId="3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67" fontId="0" fillId="0" borderId="0" xfId="2" applyNumberFormat="1" applyFont="1" applyFill="1" applyBorder="1" applyAlignment="1" applyProtection="1">
      <alignment vertical="center"/>
    </xf>
    <xf numFmtId="168" fontId="2" fillId="0" borderId="1" xfId="0" applyNumberFormat="1" applyFont="1" applyFill="1" applyBorder="1" applyAlignment="1" applyProtection="1">
      <alignment horizontal="center" vertical="center"/>
    </xf>
    <xf numFmtId="168" fontId="0" fillId="0" borderId="1" xfId="0" applyNumberFormat="1" applyFont="1" applyFill="1" applyBorder="1" applyAlignment="1" applyProtection="1">
      <alignment horizontal="center" vertical="center"/>
    </xf>
    <xf numFmtId="4" fontId="5" fillId="0" borderId="1" xfId="0" applyNumberFormat="1" applyFont="1" applyFill="1" applyBorder="1" applyAlignment="1" applyProtection="1">
      <alignment horizontal="center" vertical="center"/>
    </xf>
    <xf numFmtId="168" fontId="0" fillId="0" borderId="0" xfId="0" applyNumberFormat="1" applyFont="1" applyFill="1" applyBorder="1" applyAlignment="1" applyProtection="1">
      <alignment vertical="center"/>
    </xf>
    <xf numFmtId="164" fontId="4" fillId="0" borderId="0" xfId="2" applyNumberFormat="1" applyFont="1" applyFill="1" applyBorder="1" applyAlignment="1" applyProtection="1">
      <alignment vertical="center"/>
    </xf>
    <xf numFmtId="4" fontId="4" fillId="0" borderId="0" xfId="0" applyNumberFormat="1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horizontal="center" vertical="center"/>
    </xf>
    <xf numFmtId="171" fontId="0" fillId="0" borderId="0" xfId="2" applyNumberFormat="1" applyFont="1" applyFill="1" applyBorder="1" applyAlignment="1" applyProtection="1">
      <alignment vertical="center"/>
    </xf>
    <xf numFmtId="164" fontId="0" fillId="0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164" fontId="0" fillId="0" borderId="1" xfId="2" applyNumberFormat="1" applyFont="1" applyFill="1" applyBorder="1" applyAlignment="1" applyProtection="1">
      <alignment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</cellXfs>
  <cellStyles count="3">
    <cellStyle name="Обычный" xfId="0" builtinId="0"/>
    <cellStyle name="Обычный_Полезный отпуск теплоэнергии в горячей воде" xfId="1" xr:uid="{00000000-0005-0000-0000-000001000000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1052;&#1086;&#1080;%20&#1076;&#1086;&#1082;&#1091;&#1084;&#1077;&#1085;&#1090;&#1099;\&#1056;&#1072;&#1089;&#1087;&#1088;&#1077;&#1076;&#1077;&#1083;&#1077;&#1085;&#1080;&#1077;%20&#1089;%20&#1074;&#1099;&#1074;&#1077;&#1088;&#1082;&#1086;&#1081;\2011\&#1072;&#1087;&#1088;&#1077;&#1083;&#1100;\4%20&#1056;&#1072;&#1089;&#1087;&#1088;&#1077;&#1076;&#1077;&#1083;&#1077;&#1085;&#1080;&#1077;%202011_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i156/AppData/Local/Microsoft/Windows/INetCache/Content.Outlook/DGALEB3O/46TE.STX%20&#1054;&#1088;&#1077;&#1085;&#1073;&#1091;&#1088;&#1075;%20&#1062;&#1047;%20&#1048;&#1070;&#1051;&#1068;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1059;&#1041;&#1058;&#1069;\_7%20&#1055;&#1054;\&#1056;&#1086;&#1079;&#1085;&#1080;&#1094;&#1072;\&#1056;&#1086;&#1079;&#1085;&#1080;&#1094;&#1072;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пл_потери"/>
      <sheetName val="Форма для заполнения и обсчета"/>
      <sheetName val="ключ"/>
      <sheetName val="Распределение"/>
      <sheetName val="46 форм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modInstruction"/>
      <sheetName val="TECHSHEET"/>
      <sheetName val="RST_LIST_ORG"/>
      <sheetName val="UNREG_LIST_ORG"/>
      <sheetName val="PRICEZONE_LIST_ORG"/>
      <sheetName val="ACCESSIBILITY_LIST_ORG"/>
      <sheetName val="REESTR_MO"/>
      <sheetName val="AUTHORISATION"/>
      <sheetName val="OKTMO_HISTORY"/>
      <sheetName val="RPT_STATISTICS"/>
      <sheetName val="DICTIONARIES"/>
      <sheetName val="modGetGeoBase"/>
      <sheetName val="Лог обновления"/>
      <sheetName val="modInfo"/>
      <sheetName val="modHelp"/>
      <sheetName val="modCommonProcedures"/>
      <sheetName val="Титульный"/>
      <sheetName val="Отпуск ТЭ"/>
      <sheetName val="Комментарии"/>
      <sheetName val="Проверка"/>
      <sheetName val="modVLDIntegrityProv"/>
      <sheetName val="modRequestSpecificData"/>
      <sheetName val="modRequestReestrData"/>
      <sheetName val="modfrmReportMode"/>
      <sheetName val="modSheetTitle"/>
      <sheetName val="modfrmRegion"/>
      <sheetName val="modfrmReestr"/>
      <sheetName val="modUpdTemplMain"/>
      <sheetName val="modfrmCheckUpdates"/>
      <sheetName val="modIHLCommandB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30">
          <cell r="I130">
            <v>35389.22020009999</v>
          </cell>
          <cell r="M130">
            <v>51082192.460000016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П 2023"/>
      <sheetName val="Факт"/>
      <sheetName val="Лист1"/>
      <sheetName val="Отклонение"/>
      <sheetName val="БП 2021"/>
    </sheetNames>
    <sheetDataSet>
      <sheetData sheetId="0"/>
      <sheetData sheetId="1">
        <row r="15">
          <cell r="O15">
            <v>0.32100000000000001</v>
          </cell>
        </row>
        <row r="294">
          <cell r="AG294">
            <v>303171.07586000004</v>
          </cell>
        </row>
        <row r="322">
          <cell r="AG322">
            <v>354253.26832000003</v>
          </cell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zoomScale="70" zoomScaleNormal="70" workbookViewId="0">
      <selection activeCell="K2" sqref="K2"/>
    </sheetView>
  </sheetViews>
  <sheetFormatPr defaultColWidth="9.109375" defaultRowHeight="14.4" x14ac:dyDescent="0.3"/>
  <cols>
    <col min="1" max="1" width="13.44140625" style="1" customWidth="1"/>
    <col min="2" max="2" width="51.88671875" style="14" customWidth="1"/>
    <col min="3" max="5" width="18.109375" style="1" customWidth="1"/>
    <col min="6" max="6" width="19.88671875" style="1" customWidth="1"/>
    <col min="7" max="10" width="18.109375" style="1" customWidth="1"/>
    <col min="11" max="11" width="18.44140625" style="1" customWidth="1"/>
    <col min="12" max="12" width="20.5546875" style="1" customWidth="1"/>
    <col min="13" max="13" width="15.5546875" style="1" customWidth="1"/>
    <col min="14" max="14" width="12.5546875" style="1" customWidth="1"/>
    <col min="15" max="17" width="11" style="1" bestFit="1" customWidth="1"/>
    <col min="18" max="18" width="16.5546875" style="1" bestFit="1" customWidth="1"/>
    <col min="19" max="20" width="9.109375" style="1" customWidth="1"/>
    <col min="21" max="16384" width="9.109375" style="1"/>
  </cols>
  <sheetData>
    <row r="1" spans="1:18" x14ac:dyDescent="0.3">
      <c r="C1" s="3">
        <f>C8-C9-C10</f>
        <v>0</v>
      </c>
    </row>
    <row r="2" spans="1:18" x14ac:dyDescent="0.3">
      <c r="C2" s="49" t="s">
        <v>0</v>
      </c>
      <c r="D2" s="49"/>
      <c r="E2" s="49"/>
      <c r="F2" s="49"/>
      <c r="G2" s="49" t="s">
        <v>1</v>
      </c>
      <c r="H2" s="49"/>
      <c r="I2" s="49"/>
      <c r="J2" s="49"/>
      <c r="K2" s="14"/>
      <c r="L2" s="48"/>
    </row>
    <row r="3" spans="1:18" x14ac:dyDescent="0.3">
      <c r="B3" s="15"/>
      <c r="C3" s="21" t="s">
        <v>2</v>
      </c>
      <c r="D3" s="21" t="s">
        <v>3</v>
      </c>
      <c r="E3" s="21" t="s">
        <v>4</v>
      </c>
      <c r="F3" s="21" t="s">
        <v>5</v>
      </c>
      <c r="G3" s="21" t="s">
        <v>2</v>
      </c>
      <c r="H3" s="21" t="s">
        <v>3</v>
      </c>
      <c r="I3" s="21" t="s">
        <v>4</v>
      </c>
      <c r="J3" s="21" t="s">
        <v>5</v>
      </c>
      <c r="K3" s="14"/>
    </row>
    <row r="4" spans="1:18" ht="28.8" x14ac:dyDescent="0.3">
      <c r="A4" s="2"/>
      <c r="B4" s="5" t="s">
        <v>6</v>
      </c>
      <c r="C4" s="22"/>
      <c r="D4" s="23"/>
      <c r="E4" s="24"/>
      <c r="F4" s="25"/>
      <c r="G4" s="23"/>
      <c r="H4" s="23"/>
      <c r="I4" s="20"/>
      <c r="J4" s="20"/>
      <c r="K4" s="18"/>
      <c r="L4" s="18"/>
      <c r="M4" s="18"/>
      <c r="N4" s="3"/>
    </row>
    <row r="5" spans="1:18" x14ac:dyDescent="0.3">
      <c r="B5" s="5" t="s">
        <v>7</v>
      </c>
      <c r="C5" s="26"/>
      <c r="D5" s="27"/>
      <c r="E5" s="27"/>
      <c r="F5" s="20"/>
      <c r="G5" s="27"/>
      <c r="H5" s="27"/>
      <c r="I5" s="20"/>
      <c r="J5" s="28"/>
      <c r="K5" s="29"/>
      <c r="M5" s="3"/>
      <c r="N5" s="3"/>
    </row>
    <row r="6" spans="1:18" ht="29.25" customHeight="1" x14ac:dyDescent="0.3">
      <c r="A6" s="4" t="s">
        <v>8</v>
      </c>
      <c r="B6" s="5" t="s">
        <v>9</v>
      </c>
      <c r="C6" s="27"/>
      <c r="D6" s="27"/>
      <c r="E6" s="27"/>
      <c r="F6" s="27"/>
      <c r="G6" s="27"/>
      <c r="H6" s="27"/>
      <c r="I6" s="27"/>
      <c r="J6" s="24"/>
      <c r="M6" s="3"/>
      <c r="N6" s="3"/>
    </row>
    <row r="7" spans="1:18" ht="28.8" x14ac:dyDescent="0.3">
      <c r="B7" s="6" t="s">
        <v>10</v>
      </c>
      <c r="C7" s="27"/>
      <c r="D7" s="27"/>
      <c r="E7" s="27">
        <f>C7-D7-F7</f>
        <v>0</v>
      </c>
      <c r="F7" s="23"/>
      <c r="G7" s="27"/>
      <c r="H7" s="27"/>
      <c r="I7" s="27">
        <f>G7-H7</f>
        <v>0</v>
      </c>
      <c r="J7" s="24"/>
      <c r="K7" s="30"/>
      <c r="M7" s="3"/>
      <c r="N7" s="3"/>
      <c r="O7" s="31"/>
      <c r="P7" s="7"/>
      <c r="Q7" s="7"/>
      <c r="R7" s="7"/>
    </row>
    <row r="8" spans="1:18" x14ac:dyDescent="0.3">
      <c r="A8" s="16">
        <f>C8-(D8+E8+F8)</f>
        <v>0</v>
      </c>
      <c r="B8" s="6" t="s">
        <v>11</v>
      </c>
      <c r="C8" s="23">
        <f t="shared" ref="C8:J8" si="0">C9+C10</f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17"/>
      <c r="L8" s="31"/>
      <c r="M8" s="3"/>
      <c r="N8" s="3"/>
      <c r="O8" s="31"/>
      <c r="P8" s="7"/>
      <c r="Q8" s="7"/>
      <c r="R8" s="7"/>
    </row>
    <row r="9" spans="1:18" x14ac:dyDescent="0.3">
      <c r="A9" s="8"/>
      <c r="B9" s="6" t="s">
        <v>12</v>
      </c>
      <c r="C9" s="27"/>
      <c r="D9" s="27"/>
      <c r="E9" s="27">
        <f>C9-D9-F9</f>
        <v>0</v>
      </c>
      <c r="F9" s="27">
        <f>IF(C9&lt;0,C9,0)</f>
        <v>0</v>
      </c>
      <c r="G9" s="27"/>
      <c r="H9" s="27"/>
      <c r="I9" s="27">
        <f>G9-H9-J9</f>
        <v>0</v>
      </c>
      <c r="J9" s="27">
        <f>IF(G9&lt;0,G9,0)</f>
        <v>0</v>
      </c>
      <c r="K9" s="32"/>
      <c r="M9" s="3"/>
      <c r="N9" s="3"/>
      <c r="O9" s="31"/>
      <c r="P9" s="7"/>
      <c r="Q9" s="7"/>
      <c r="R9" s="7"/>
    </row>
    <row r="10" spans="1:18" x14ac:dyDescent="0.3">
      <c r="A10" s="8"/>
      <c r="B10" s="6" t="s">
        <v>13</v>
      </c>
      <c r="C10" s="27"/>
      <c r="D10" s="27"/>
      <c r="E10" s="27">
        <f>C10-D10-F10</f>
        <v>0</v>
      </c>
      <c r="F10" s="27">
        <f>IF(C10&lt;0,C10,0)</f>
        <v>0</v>
      </c>
      <c r="G10" s="27"/>
      <c r="H10" s="27"/>
      <c r="I10" s="27">
        <f t="shared" ref="I10:I11" si="1">G10-H10-J10</f>
        <v>0</v>
      </c>
      <c r="J10" s="27">
        <f t="shared" ref="J10" si="2">IF(G10&lt;0,G10,0)</f>
        <v>0</v>
      </c>
      <c r="K10" s="32"/>
      <c r="L10" s="33"/>
      <c r="M10" s="3"/>
      <c r="N10" s="3"/>
      <c r="O10" s="31"/>
      <c r="P10" s="7"/>
      <c r="Q10" s="7"/>
      <c r="R10" s="7"/>
    </row>
    <row r="11" spans="1:18" x14ac:dyDescent="0.3">
      <c r="A11" s="8"/>
      <c r="B11" s="6" t="s">
        <v>14</v>
      </c>
      <c r="C11" s="27"/>
      <c r="D11" s="27"/>
      <c r="E11" s="27">
        <f>C11-D11-F11</f>
        <v>0</v>
      </c>
      <c r="F11" s="27"/>
      <c r="G11" s="27"/>
      <c r="H11" s="27"/>
      <c r="I11" s="27">
        <f t="shared" si="1"/>
        <v>0</v>
      </c>
      <c r="J11" s="27"/>
      <c r="K11" s="32"/>
      <c r="M11" s="3"/>
      <c r="N11" s="3"/>
      <c r="O11" s="31"/>
      <c r="P11" s="7"/>
      <c r="Q11" s="7"/>
      <c r="R11" s="7"/>
    </row>
    <row r="12" spans="1:18" x14ac:dyDescent="0.3">
      <c r="B12" s="6" t="s">
        <v>15</v>
      </c>
      <c r="C12" s="23"/>
      <c r="D12" s="24"/>
      <c r="E12" s="23"/>
      <c r="F12" s="27"/>
      <c r="G12" s="23"/>
      <c r="H12" s="24"/>
      <c r="I12" s="27"/>
      <c r="J12" s="27"/>
      <c r="K12" s="34"/>
      <c r="M12" s="3"/>
      <c r="N12" s="3"/>
    </row>
    <row r="13" spans="1:18" ht="28.8" x14ac:dyDescent="0.3">
      <c r="A13" s="9"/>
      <c r="B13" s="6" t="s">
        <v>16</v>
      </c>
      <c r="C13" s="23"/>
      <c r="D13" s="24"/>
      <c r="E13" s="23"/>
      <c r="F13" s="27"/>
      <c r="G13" s="23"/>
      <c r="H13" s="24"/>
      <c r="I13" s="23"/>
      <c r="J13" s="27"/>
      <c r="K13" s="10"/>
      <c r="M13" s="35"/>
      <c r="N13" s="3"/>
    </row>
    <row r="14" spans="1:18" x14ac:dyDescent="0.3">
      <c r="A14" s="2"/>
      <c r="B14" s="5" t="s">
        <v>17</v>
      </c>
      <c r="C14" s="23"/>
      <c r="D14" s="24"/>
      <c r="E14" s="24"/>
      <c r="F14" s="27"/>
      <c r="G14" s="24"/>
      <c r="H14" s="24"/>
      <c r="I14" s="24"/>
      <c r="J14" s="27"/>
      <c r="K14" s="10"/>
      <c r="M14" s="3"/>
      <c r="N14" s="3"/>
    </row>
    <row r="15" spans="1:18" ht="28.8" x14ac:dyDescent="0.3">
      <c r="B15" s="6" t="s">
        <v>10</v>
      </c>
      <c r="C15" s="23"/>
      <c r="D15" s="27"/>
      <c r="E15" s="24"/>
      <c r="F15" s="27"/>
      <c r="G15" s="23"/>
      <c r="H15" s="27"/>
      <c r="I15" s="24"/>
      <c r="J15" s="27"/>
      <c r="K15" s="34"/>
      <c r="L15" s="31"/>
      <c r="M15" s="31"/>
      <c r="N15" s="3"/>
    </row>
    <row r="16" spans="1:18" x14ac:dyDescent="0.3">
      <c r="B16" s="5" t="s">
        <v>18</v>
      </c>
      <c r="C16" s="23"/>
      <c r="D16" s="27"/>
      <c r="E16" s="24"/>
      <c r="F16" s="27"/>
      <c r="G16" s="23"/>
      <c r="H16" s="27"/>
      <c r="I16" s="24"/>
      <c r="J16" s="27"/>
      <c r="K16" s="3"/>
      <c r="M16" s="3"/>
      <c r="N16" s="3"/>
    </row>
    <row r="17" spans="1:18" ht="28.8" x14ac:dyDescent="0.3">
      <c r="B17" s="6" t="s">
        <v>10</v>
      </c>
      <c r="C17" s="23"/>
      <c r="D17" s="27"/>
      <c r="E17" s="24"/>
      <c r="F17" s="27"/>
      <c r="G17" s="23"/>
      <c r="H17" s="27"/>
      <c r="I17" s="24"/>
      <c r="J17" s="27"/>
      <c r="K17" s="3"/>
      <c r="L17" s="31"/>
      <c r="M17" s="31"/>
      <c r="N17" s="3"/>
    </row>
    <row r="18" spans="1:18" ht="30.75" customHeight="1" x14ac:dyDescent="0.3">
      <c r="A18" s="3"/>
      <c r="B18" s="6" t="s">
        <v>14</v>
      </c>
      <c r="C18" s="23"/>
      <c r="D18" s="27"/>
      <c r="E18" s="24"/>
      <c r="F18" s="27"/>
      <c r="G18" s="23"/>
      <c r="H18" s="27"/>
      <c r="I18" s="24"/>
      <c r="J18" s="27"/>
      <c r="M18" s="3"/>
      <c r="N18" s="3"/>
    </row>
    <row r="19" spans="1:18" x14ac:dyDescent="0.3">
      <c r="A19" s="3"/>
      <c r="B19" s="11" t="s">
        <v>19</v>
      </c>
      <c r="C19" s="33">
        <f>SUM(C4:C18)-C9-C10-C4-C14</f>
        <v>0</v>
      </c>
      <c r="D19" s="33">
        <f>SUM(D4:D18)-D9-D10-D4-D14</f>
        <v>0</v>
      </c>
      <c r="E19" s="33">
        <f>SUM(E4:E18)-E9-E10-E4-E14</f>
        <v>0</v>
      </c>
      <c r="F19" s="33"/>
      <c r="G19" s="33">
        <f>SUM(G4:G18)-G9-G10-G4-G14</f>
        <v>0</v>
      </c>
      <c r="H19" s="33">
        <f>SUM(H4:H18)-H9-H10-H4-H14</f>
        <v>0</v>
      </c>
      <c r="I19" s="33">
        <f>SUM(I4:I18)-I9-I10-I4-I14</f>
        <v>0</v>
      </c>
      <c r="J19" s="33"/>
      <c r="L19" s="34"/>
      <c r="M19" s="3"/>
      <c r="N19" s="3"/>
    </row>
    <row r="20" spans="1:18" ht="32.25" customHeight="1" x14ac:dyDescent="0.3">
      <c r="A20" s="3"/>
      <c r="B20" s="11" t="s">
        <v>20</v>
      </c>
      <c r="C20" s="31"/>
      <c r="D20" s="31"/>
      <c r="E20" s="31"/>
      <c r="F20" s="3"/>
      <c r="G20" s="31"/>
      <c r="I20" s="36">
        <f>'[2]Отпуск ТЭ'!$M$130/1000-[3]Факт!$AG$322+[3]Факт!$AG$294</f>
        <v>0</v>
      </c>
      <c r="J20" s="3"/>
      <c r="M20" s="3"/>
      <c r="N20" s="3"/>
    </row>
    <row r="21" spans="1:18" x14ac:dyDescent="0.3">
      <c r="A21" s="3"/>
      <c r="B21" s="15"/>
      <c r="C21" s="49" t="s">
        <v>0</v>
      </c>
      <c r="D21" s="49"/>
      <c r="E21" s="49"/>
      <c r="F21" s="49"/>
      <c r="G21" s="49" t="s">
        <v>1</v>
      </c>
      <c r="H21" s="49"/>
      <c r="I21" s="49"/>
      <c r="J21" s="49"/>
      <c r="K21" s="50"/>
      <c r="M21" s="3"/>
      <c r="N21" s="3"/>
    </row>
    <row r="22" spans="1:18" x14ac:dyDescent="0.3">
      <c r="A22" s="3"/>
      <c r="B22" s="15"/>
      <c r="C22" s="21" t="s">
        <v>2</v>
      </c>
      <c r="D22" s="21" t="s">
        <v>3</v>
      </c>
      <c r="E22" s="21" t="s">
        <v>4</v>
      </c>
      <c r="F22" s="21" t="s">
        <v>5</v>
      </c>
      <c r="G22" s="21" t="s">
        <v>2</v>
      </c>
      <c r="H22" s="21" t="s">
        <v>3</v>
      </c>
      <c r="I22" s="21" t="s">
        <v>4</v>
      </c>
      <c r="J22" s="21" t="s">
        <v>5</v>
      </c>
      <c r="K22" s="50"/>
      <c r="M22" s="3"/>
      <c r="N22" s="3"/>
    </row>
    <row r="23" spans="1:18" ht="27.75" customHeight="1" x14ac:dyDescent="0.3">
      <c r="A23" s="4" t="s">
        <v>21</v>
      </c>
      <c r="B23" s="5" t="s">
        <v>6</v>
      </c>
      <c r="C23" s="27"/>
      <c r="D23" s="27"/>
      <c r="E23" s="27"/>
      <c r="F23" s="27"/>
      <c r="G23" s="27"/>
      <c r="H23" s="27"/>
      <c r="I23" s="27"/>
      <c r="J23" s="27"/>
      <c r="M23" s="3"/>
      <c r="N23" s="3"/>
    </row>
    <row r="24" spans="1:18" ht="28.8" x14ac:dyDescent="0.3">
      <c r="B24" s="6" t="s">
        <v>10</v>
      </c>
      <c r="C24" s="37"/>
      <c r="D24" s="23"/>
      <c r="E24" s="24"/>
      <c r="F24" s="24"/>
      <c r="G24" s="24"/>
      <c r="H24" s="23"/>
      <c r="I24" s="27"/>
      <c r="J24" s="27"/>
      <c r="M24" s="3"/>
      <c r="N24" s="3"/>
    </row>
    <row r="25" spans="1:18" ht="29.25" customHeight="1" x14ac:dyDescent="0.3">
      <c r="B25" s="5" t="s">
        <v>9</v>
      </c>
      <c r="C25" s="38"/>
      <c r="D25" s="27"/>
      <c r="E25" s="27"/>
      <c r="F25" s="27"/>
      <c r="G25" s="27"/>
      <c r="H25" s="27"/>
      <c r="I25" s="27"/>
      <c r="J25" s="27"/>
      <c r="M25" s="3"/>
      <c r="N25" s="3"/>
    </row>
    <row r="26" spans="1:18" ht="28.8" x14ac:dyDescent="0.3">
      <c r="A26" s="12"/>
      <c r="B26" s="6" t="s">
        <v>10</v>
      </c>
      <c r="C26" s="23"/>
      <c r="D26" s="39"/>
      <c r="E26" s="23">
        <f>C26-D26-F26</f>
        <v>0</v>
      </c>
      <c r="F26" s="27"/>
      <c r="G26" s="23"/>
      <c r="H26" s="39"/>
      <c r="I26" s="23">
        <f>G26-H26-J26</f>
        <v>0</v>
      </c>
      <c r="J26" s="27"/>
      <c r="K26" s="31"/>
      <c r="L26" s="31"/>
      <c r="N26" s="3"/>
      <c r="O26" s="31"/>
      <c r="P26" s="7"/>
      <c r="Q26" s="13"/>
      <c r="R26" s="7"/>
    </row>
    <row r="27" spans="1:18" x14ac:dyDescent="0.3">
      <c r="A27" s="16">
        <f>C27-(D27+E27+F27)</f>
        <v>0</v>
      </c>
      <c r="B27" s="6" t="s">
        <v>11</v>
      </c>
      <c r="C27" s="23">
        <f>C28+C29</f>
        <v>0</v>
      </c>
      <c r="D27" s="23">
        <f t="shared" ref="D27:J27" si="3">D28+D29</f>
        <v>0</v>
      </c>
      <c r="E27" s="23">
        <f t="shared" si="3"/>
        <v>0</v>
      </c>
      <c r="F27" s="23">
        <f t="shared" si="3"/>
        <v>0</v>
      </c>
      <c r="G27" s="23">
        <f t="shared" si="3"/>
        <v>0</v>
      </c>
      <c r="H27" s="23">
        <f t="shared" si="3"/>
        <v>0</v>
      </c>
      <c r="I27" s="23">
        <f t="shared" si="3"/>
        <v>0</v>
      </c>
      <c r="J27" s="23">
        <f t="shared" si="3"/>
        <v>0</v>
      </c>
      <c r="K27" s="17"/>
      <c r="N27" s="3"/>
      <c r="O27" s="31"/>
      <c r="P27" s="7"/>
      <c r="Q27" s="7"/>
      <c r="R27" s="7"/>
    </row>
    <row r="28" spans="1:18" x14ac:dyDescent="0.3">
      <c r="A28" s="12"/>
      <c r="B28" s="6" t="s">
        <v>12</v>
      </c>
      <c r="C28" s="23"/>
      <c r="D28" s="39"/>
      <c r="E28" s="23">
        <f>C28-D28-F28</f>
        <v>0</v>
      </c>
      <c r="F28" s="23">
        <f>IF(C28&lt;0,C28,0)</f>
        <v>0</v>
      </c>
      <c r="G28" s="23"/>
      <c r="H28" s="39"/>
      <c r="I28" s="23">
        <f>G28-H28-J28</f>
        <v>0</v>
      </c>
      <c r="J28" s="27">
        <f>IF(G28&lt;0,G28,0)</f>
        <v>0</v>
      </c>
      <c r="K28" s="31"/>
      <c r="M28" s="3"/>
      <c r="N28" s="3"/>
      <c r="O28" s="31"/>
      <c r="P28" s="7"/>
      <c r="Q28" s="7"/>
      <c r="R28" s="7"/>
    </row>
    <row r="29" spans="1:18" x14ac:dyDescent="0.3">
      <c r="A29" s="12"/>
      <c r="B29" s="6" t="s">
        <v>13</v>
      </c>
      <c r="C29" s="23"/>
      <c r="D29" s="39"/>
      <c r="E29" s="23">
        <f t="shared" ref="E29:E30" si="4">C29-D29-F29</f>
        <v>0</v>
      </c>
      <c r="F29" s="23">
        <f t="shared" ref="F29" si="5">IF(C29&lt;0,C29,0)</f>
        <v>0</v>
      </c>
      <c r="G29" s="23"/>
      <c r="H29" s="39"/>
      <c r="I29" s="23">
        <f t="shared" ref="I29:I30" si="6">G29-H29-J29</f>
        <v>0</v>
      </c>
      <c r="J29" s="27">
        <f>IF(G29&lt;0,G29,0)</f>
        <v>0</v>
      </c>
      <c r="K29" s="31"/>
      <c r="M29" s="3"/>
      <c r="N29" s="3"/>
      <c r="O29" s="31"/>
      <c r="P29" s="7"/>
      <c r="Q29" s="7"/>
      <c r="R29" s="7"/>
    </row>
    <row r="30" spans="1:18" x14ac:dyDescent="0.3">
      <c r="B30" s="6" t="s">
        <v>14</v>
      </c>
      <c r="C30" s="23"/>
      <c r="D30" s="39"/>
      <c r="E30" s="23">
        <f t="shared" si="4"/>
        <v>0</v>
      </c>
      <c r="F30" s="23"/>
      <c r="G30" s="23"/>
      <c r="H30" s="39"/>
      <c r="I30" s="23">
        <f t="shared" si="6"/>
        <v>0</v>
      </c>
      <c r="J30" s="27"/>
      <c r="K30" s="31"/>
      <c r="M30" s="3"/>
      <c r="N30" s="3"/>
      <c r="O30" s="31"/>
      <c r="P30" s="7"/>
      <c r="Q30" s="7"/>
      <c r="R30" s="7"/>
    </row>
    <row r="31" spans="1:18" x14ac:dyDescent="0.3">
      <c r="B31" s="6" t="s">
        <v>15</v>
      </c>
      <c r="C31" s="37"/>
      <c r="D31" s="24"/>
      <c r="E31" s="24"/>
      <c r="F31" s="24"/>
      <c r="G31" s="24"/>
      <c r="H31" s="24"/>
      <c r="I31" s="24"/>
      <c r="J31" s="27"/>
      <c r="K31" s="31"/>
      <c r="L31" s="31"/>
      <c r="M31" s="31"/>
      <c r="N31" s="3"/>
    </row>
    <row r="32" spans="1:18" ht="28.8" x14ac:dyDescent="0.3">
      <c r="B32" s="6" t="s">
        <v>16</v>
      </c>
      <c r="C32" s="38"/>
      <c r="D32" s="27"/>
      <c r="E32" s="27"/>
      <c r="F32" s="27"/>
      <c r="G32" s="27"/>
      <c r="H32" s="27"/>
      <c r="I32" s="27"/>
      <c r="J32" s="27"/>
      <c r="K32" s="31"/>
      <c r="M32" s="3"/>
      <c r="N32" s="3"/>
    </row>
    <row r="33" spans="1:18" x14ac:dyDescent="0.3">
      <c r="B33" s="5" t="s">
        <v>17</v>
      </c>
      <c r="C33" s="38"/>
      <c r="D33" s="27"/>
      <c r="E33" s="27"/>
      <c r="F33" s="27"/>
      <c r="G33" s="27"/>
      <c r="H33" s="27"/>
      <c r="I33" s="27"/>
      <c r="J33" s="27"/>
      <c r="K33" s="31"/>
      <c r="M33" s="3"/>
      <c r="N33" s="3"/>
    </row>
    <row r="34" spans="1:18" ht="28.8" x14ac:dyDescent="0.3">
      <c r="B34" s="6" t="s">
        <v>10</v>
      </c>
      <c r="C34" s="23"/>
      <c r="D34" s="23"/>
      <c r="E34" s="24"/>
      <c r="F34" s="24"/>
      <c r="G34" s="23"/>
      <c r="H34" s="23"/>
      <c r="I34" s="27"/>
      <c r="J34" s="27"/>
      <c r="K34" s="31"/>
      <c r="M34" s="3"/>
      <c r="N34" s="3"/>
    </row>
    <row r="35" spans="1:18" x14ac:dyDescent="0.3">
      <c r="B35" s="11" t="s">
        <v>19</v>
      </c>
      <c r="C35" s="40">
        <f>SUM(C23:C34)-C28-C29</f>
        <v>0</v>
      </c>
      <c r="D35" s="40">
        <f>SUM(D23:D34)-D28-D29</f>
        <v>0</v>
      </c>
      <c r="E35" s="40">
        <f>SUM(E23:E34)-E28-E29</f>
        <v>0</v>
      </c>
      <c r="G35" s="3">
        <f>SUM(G23:G34)-G28-G29</f>
        <v>0</v>
      </c>
      <c r="H35" s="3">
        <f t="shared" ref="H35:I35" si="7">SUM(H23:H34)-H28-H29</f>
        <v>0</v>
      </c>
      <c r="I35" s="3">
        <f t="shared" si="7"/>
        <v>0</v>
      </c>
      <c r="M35" s="3"/>
      <c r="N35" s="3"/>
    </row>
    <row r="36" spans="1:18" x14ac:dyDescent="0.3">
      <c r="B36" s="11"/>
      <c r="C36" s="31"/>
      <c r="G36" s="41"/>
      <c r="H36" s="35"/>
      <c r="M36" s="3"/>
      <c r="N36" s="3"/>
    </row>
    <row r="37" spans="1:18" x14ac:dyDescent="0.3">
      <c r="B37" s="11"/>
      <c r="C37" s="49" t="s">
        <v>0</v>
      </c>
      <c r="D37" s="49"/>
      <c r="E37" s="49"/>
      <c r="F37" s="49"/>
      <c r="G37" s="49" t="s">
        <v>1</v>
      </c>
      <c r="H37" s="49"/>
      <c r="I37" s="49"/>
      <c r="J37" s="49"/>
      <c r="M37" s="3"/>
      <c r="N37" s="3"/>
    </row>
    <row r="38" spans="1:18" x14ac:dyDescent="0.3">
      <c r="C38" s="21" t="s">
        <v>2</v>
      </c>
      <c r="D38" s="21" t="s">
        <v>3</v>
      </c>
      <c r="E38" s="21" t="s">
        <v>4</v>
      </c>
      <c r="F38" s="21" t="s">
        <v>5</v>
      </c>
      <c r="G38" s="21" t="s">
        <v>2</v>
      </c>
      <c r="H38" s="21" t="s">
        <v>3</v>
      </c>
      <c r="I38" s="21" t="s">
        <v>4</v>
      </c>
      <c r="J38" s="21" t="s">
        <v>5</v>
      </c>
      <c r="M38" s="3"/>
      <c r="N38" s="3"/>
    </row>
    <row r="39" spans="1:18" ht="27.75" customHeight="1" x14ac:dyDescent="0.3">
      <c r="A39" s="4" t="s">
        <v>22</v>
      </c>
      <c r="B39" s="5" t="s">
        <v>6</v>
      </c>
      <c r="C39" s="27"/>
      <c r="D39" s="27"/>
      <c r="E39" s="27"/>
      <c r="F39" s="27"/>
      <c r="G39" s="27"/>
      <c r="H39" s="27"/>
      <c r="I39" s="27"/>
      <c r="J39" s="27"/>
      <c r="M39" s="3"/>
      <c r="N39" s="3"/>
    </row>
    <row r="40" spans="1:18" ht="47.25" customHeight="1" x14ac:dyDescent="0.3">
      <c r="B40" s="6" t="s">
        <v>10</v>
      </c>
      <c r="C40" s="27" t="s">
        <v>29</v>
      </c>
      <c r="D40" s="27" t="s">
        <v>29</v>
      </c>
      <c r="E40" s="27"/>
      <c r="F40" s="27"/>
      <c r="G40" s="27" t="s">
        <v>29</v>
      </c>
      <c r="H40" s="27" t="s">
        <v>29</v>
      </c>
      <c r="I40" s="27"/>
      <c r="J40" s="27"/>
      <c r="K40" s="31"/>
      <c r="L40" s="14"/>
      <c r="M40" s="3"/>
      <c r="N40" s="3"/>
    </row>
    <row r="41" spans="1:18" ht="23.25" customHeight="1" x14ac:dyDescent="0.3">
      <c r="B41" s="6" t="s">
        <v>15</v>
      </c>
      <c r="C41" s="27" t="s">
        <v>29</v>
      </c>
      <c r="D41" s="27" t="s">
        <v>29</v>
      </c>
      <c r="E41" s="27"/>
      <c r="F41" s="27"/>
      <c r="G41" s="27" t="s">
        <v>29</v>
      </c>
      <c r="H41" s="27" t="s">
        <v>29</v>
      </c>
      <c r="I41" s="27"/>
      <c r="J41" s="27"/>
      <c r="K41" s="31"/>
      <c r="L41" s="3"/>
      <c r="M41" s="3"/>
      <c r="N41" s="3"/>
    </row>
    <row r="42" spans="1:18" ht="29.25" customHeight="1" x14ac:dyDescent="0.3">
      <c r="B42" s="5" t="s">
        <v>9</v>
      </c>
      <c r="C42" s="27"/>
      <c r="D42" s="27"/>
      <c r="E42" s="27"/>
      <c r="F42" s="27"/>
      <c r="G42" s="27"/>
      <c r="H42" s="27"/>
      <c r="I42" s="27"/>
      <c r="J42" s="27"/>
      <c r="K42" s="31"/>
      <c r="L42" s="3"/>
      <c r="M42" s="3"/>
      <c r="N42" s="3"/>
    </row>
    <row r="43" spans="1:18" ht="28.8" x14ac:dyDescent="0.3">
      <c r="B43" s="6" t="s">
        <v>10</v>
      </c>
      <c r="C43" s="27"/>
      <c r="D43" s="27"/>
      <c r="E43" s="27">
        <f>C43-D43-F43</f>
        <v>0</v>
      </c>
      <c r="F43" s="27"/>
      <c r="G43" s="27"/>
      <c r="H43" s="27"/>
      <c r="I43" s="27">
        <f>G43-H43-J43</f>
        <v>0</v>
      </c>
      <c r="J43" s="27"/>
      <c r="K43" s="31"/>
      <c r="N43" s="3"/>
      <c r="O43" s="31"/>
      <c r="P43" s="7"/>
      <c r="Q43" s="7"/>
      <c r="R43" s="7"/>
    </row>
    <row r="44" spans="1:18" x14ac:dyDescent="0.3">
      <c r="A44" s="16">
        <f>C44-D44-E44-F44</f>
        <v>0</v>
      </c>
      <c r="B44" s="6" t="s">
        <v>11</v>
      </c>
      <c r="C44" s="23">
        <f t="shared" ref="C44:J44" si="8">C45+C46</f>
        <v>0</v>
      </c>
      <c r="D44" s="23">
        <f t="shared" si="8"/>
        <v>0</v>
      </c>
      <c r="E44" s="23">
        <f t="shared" si="8"/>
        <v>0</v>
      </c>
      <c r="F44" s="23">
        <f t="shared" si="8"/>
        <v>0</v>
      </c>
      <c r="G44" s="23">
        <f t="shared" si="8"/>
        <v>0</v>
      </c>
      <c r="H44" s="23">
        <f t="shared" si="8"/>
        <v>0</v>
      </c>
      <c r="I44" s="23">
        <f t="shared" si="8"/>
        <v>0</v>
      </c>
      <c r="J44" s="23">
        <f t="shared" si="8"/>
        <v>0</v>
      </c>
      <c r="K44" s="17"/>
      <c r="M44" s="3"/>
      <c r="N44" s="3"/>
      <c r="O44" s="31"/>
      <c r="P44" s="7"/>
      <c r="Q44" s="7"/>
      <c r="R44" s="7"/>
    </row>
    <row r="45" spans="1:18" x14ac:dyDescent="0.3">
      <c r="B45" s="6" t="s">
        <v>12</v>
      </c>
      <c r="C45" s="27"/>
      <c r="D45" s="39"/>
      <c r="E45" s="27">
        <f>C45-D45-F45</f>
        <v>0</v>
      </c>
      <c r="F45" s="27">
        <f>IF(C45&lt;0,C45,0)</f>
        <v>0</v>
      </c>
      <c r="G45" s="27"/>
      <c r="H45" s="39"/>
      <c r="I45" s="27">
        <f>G45-H45-J45</f>
        <v>0</v>
      </c>
      <c r="J45" s="27">
        <f>IF(G45&lt;0,G45,0)</f>
        <v>0</v>
      </c>
      <c r="K45" s="31"/>
      <c r="M45" s="3"/>
      <c r="N45" s="3"/>
      <c r="O45" s="31"/>
      <c r="P45" s="7"/>
      <c r="Q45" s="7"/>
      <c r="R45" s="7"/>
    </row>
    <row r="46" spans="1:18" x14ac:dyDescent="0.3">
      <c r="B46" s="6" t="s">
        <v>13</v>
      </c>
      <c r="C46" s="27"/>
      <c r="D46" s="39"/>
      <c r="E46" s="27">
        <f t="shared" ref="E46:E47" si="9">C46-D46-F46</f>
        <v>0</v>
      </c>
      <c r="F46" s="27">
        <f>IF(C46&lt;0,C46,0)</f>
        <v>0</v>
      </c>
      <c r="G46" s="27"/>
      <c r="H46" s="39"/>
      <c r="I46" s="27">
        <f t="shared" ref="I46:I47" si="10">G46-H46-J46</f>
        <v>0</v>
      </c>
      <c r="J46" s="27">
        <f>IF(G46&lt;0,G46,0)</f>
        <v>0</v>
      </c>
      <c r="K46" s="31"/>
      <c r="M46" s="3"/>
      <c r="N46" s="3"/>
      <c r="O46" s="31"/>
      <c r="P46" s="7"/>
      <c r="Q46" s="7"/>
      <c r="R46" s="7"/>
    </row>
    <row r="47" spans="1:18" x14ac:dyDescent="0.3">
      <c r="B47" s="6" t="s">
        <v>14</v>
      </c>
      <c r="C47" s="27"/>
      <c r="D47" s="27"/>
      <c r="E47" s="27">
        <f t="shared" si="9"/>
        <v>0</v>
      </c>
      <c r="F47" s="27"/>
      <c r="G47" s="27"/>
      <c r="H47" s="27"/>
      <c r="I47" s="27">
        <f t="shared" si="10"/>
        <v>0</v>
      </c>
      <c r="J47" s="27"/>
      <c r="K47" s="31"/>
      <c r="M47" s="3"/>
      <c r="N47" s="3"/>
      <c r="O47" s="31"/>
      <c r="P47" s="7"/>
      <c r="Q47" s="7"/>
      <c r="R47" s="7"/>
    </row>
    <row r="48" spans="1:18" x14ac:dyDescent="0.3">
      <c r="B48" s="6" t="s">
        <v>15</v>
      </c>
      <c r="C48" s="27"/>
      <c r="D48" s="27"/>
      <c r="E48" s="27"/>
      <c r="F48" s="27"/>
      <c r="G48" s="27"/>
      <c r="H48" s="27"/>
      <c r="I48" s="27"/>
      <c r="J48" s="27"/>
      <c r="K48" s="31"/>
      <c r="M48" s="3"/>
      <c r="N48" s="3"/>
    </row>
    <row r="49" spans="1:18" ht="28.8" x14ac:dyDescent="0.3">
      <c r="B49" s="6" t="s">
        <v>16</v>
      </c>
      <c r="C49" s="27"/>
      <c r="D49" s="27"/>
      <c r="E49" s="27"/>
      <c r="F49" s="27"/>
      <c r="G49" s="27"/>
      <c r="H49" s="27"/>
      <c r="I49" s="27"/>
      <c r="J49" s="27"/>
      <c r="K49" s="35"/>
      <c r="M49" s="3"/>
      <c r="N49" s="3"/>
    </row>
    <row r="50" spans="1:18" x14ac:dyDescent="0.3">
      <c r="B50" s="5" t="s">
        <v>17</v>
      </c>
      <c r="C50" s="27"/>
      <c r="D50" s="27"/>
      <c r="E50" s="27"/>
      <c r="F50" s="27"/>
      <c r="G50" s="27"/>
      <c r="H50" s="27"/>
      <c r="I50" s="27"/>
      <c r="J50" s="27"/>
      <c r="M50" s="3"/>
      <c r="N50" s="3"/>
    </row>
    <row r="51" spans="1:18" ht="28.8" x14ac:dyDescent="0.3">
      <c r="B51" s="6" t="s">
        <v>10</v>
      </c>
      <c r="C51" s="27"/>
      <c r="D51" s="27"/>
      <c r="E51" s="27"/>
      <c r="F51" s="27"/>
      <c r="G51" s="27"/>
      <c r="H51" s="27"/>
      <c r="I51" s="27"/>
      <c r="J51" s="27"/>
      <c r="L51" s="31"/>
      <c r="M51" s="31"/>
      <c r="N51" s="3"/>
    </row>
    <row r="52" spans="1:18" x14ac:dyDescent="0.3">
      <c r="B52" s="11" t="s">
        <v>19</v>
      </c>
      <c r="C52" s="42">
        <f>SUM(C39:C51)-C45-C46</f>
        <v>0</v>
      </c>
      <c r="D52" s="42">
        <f>SUM(D39:D51)-D45-D46</f>
        <v>0</v>
      </c>
      <c r="E52" s="42">
        <f>SUM(E39:E51)-E45-E46</f>
        <v>0</v>
      </c>
      <c r="G52" s="42">
        <f>SUM(G39:G51)-G45-G46</f>
        <v>0</v>
      </c>
      <c r="H52" s="42">
        <f>SUM(H39:H51)-H45-H46</f>
        <v>0</v>
      </c>
      <c r="I52" s="3"/>
    </row>
    <row r="53" spans="1:18" x14ac:dyDescent="0.3">
      <c r="B53" s="11"/>
      <c r="C53" s="31"/>
      <c r="D53" s="3"/>
      <c r="G53" s="41"/>
      <c r="H53" s="35"/>
      <c r="L53" s="31"/>
      <c r="M53" s="31"/>
    </row>
    <row r="54" spans="1:18" x14ac:dyDescent="0.3">
      <c r="B54" s="19"/>
      <c r="C54" s="49" t="s">
        <v>0</v>
      </c>
      <c r="D54" s="49"/>
      <c r="E54" s="49"/>
      <c r="F54" s="49"/>
      <c r="G54" s="49" t="s">
        <v>1</v>
      </c>
      <c r="H54" s="49"/>
      <c r="I54" s="49"/>
      <c r="J54" s="49"/>
      <c r="K54" s="14"/>
    </row>
    <row r="55" spans="1:18" x14ac:dyDescent="0.3">
      <c r="B55" s="19"/>
      <c r="C55" s="21" t="s">
        <v>2</v>
      </c>
      <c r="D55" s="21" t="s">
        <v>3</v>
      </c>
      <c r="E55" s="21" t="s">
        <v>4</v>
      </c>
      <c r="F55" s="21" t="s">
        <v>5</v>
      </c>
      <c r="G55" s="21" t="s">
        <v>2</v>
      </c>
      <c r="H55" s="21" t="s">
        <v>3</v>
      </c>
      <c r="I55" s="21" t="s">
        <v>4</v>
      </c>
      <c r="J55" s="21" t="s">
        <v>5</v>
      </c>
      <c r="K55" s="14"/>
    </row>
    <row r="56" spans="1:18" ht="28.8" x14ac:dyDescent="0.3">
      <c r="A56" s="2" t="s">
        <v>23</v>
      </c>
      <c r="B56" s="5" t="s">
        <v>6</v>
      </c>
      <c r="C56" s="27"/>
      <c r="D56" s="23"/>
      <c r="E56" s="24"/>
      <c r="F56" s="25"/>
      <c r="G56" s="23"/>
      <c r="H56" s="23"/>
      <c r="I56" s="20"/>
      <c r="J56" s="20"/>
      <c r="K56" s="31"/>
      <c r="N56" s="3"/>
    </row>
    <row r="57" spans="1:18" x14ac:dyDescent="0.3">
      <c r="B57" s="5"/>
      <c r="C57" s="26"/>
      <c r="D57" s="27"/>
      <c r="E57" s="27"/>
      <c r="F57" s="20"/>
      <c r="G57" s="27"/>
      <c r="H57" s="27"/>
      <c r="I57" s="20"/>
      <c r="J57" s="28"/>
      <c r="K57" s="29"/>
      <c r="N57" s="3"/>
    </row>
    <row r="58" spans="1:18" ht="29.25" customHeight="1" x14ac:dyDescent="0.3">
      <c r="A58" s="4" t="s">
        <v>8</v>
      </c>
      <c r="B58" s="5" t="s">
        <v>9</v>
      </c>
      <c r="C58" s="27"/>
      <c r="D58" s="27"/>
      <c r="E58" s="27"/>
      <c r="F58" s="27"/>
      <c r="G58" s="27"/>
      <c r="H58" s="27"/>
      <c r="I58" s="27"/>
      <c r="J58" s="27"/>
      <c r="K58" s="29"/>
      <c r="N58" s="3"/>
    </row>
    <row r="59" spans="1:18" ht="28.8" x14ac:dyDescent="0.3">
      <c r="B59" s="6" t="s">
        <v>10</v>
      </c>
      <c r="C59" s="27"/>
      <c r="D59" s="23"/>
      <c r="E59" s="23"/>
      <c r="F59" s="27"/>
      <c r="G59" s="27"/>
      <c r="H59" s="23"/>
      <c r="I59" s="23"/>
      <c r="J59" s="27"/>
      <c r="K59" s="31"/>
      <c r="N59" s="3"/>
      <c r="O59" s="31"/>
      <c r="P59" s="7"/>
      <c r="Q59" s="7"/>
      <c r="R59" s="7"/>
    </row>
    <row r="60" spans="1:18" x14ac:dyDescent="0.3">
      <c r="A60" s="16">
        <f>C60-D60-E60</f>
        <v>0</v>
      </c>
      <c r="B60" s="6" t="s">
        <v>11</v>
      </c>
      <c r="C60" s="23"/>
      <c r="D60" s="23"/>
      <c r="E60" s="23"/>
      <c r="F60" s="27"/>
      <c r="G60" s="23"/>
      <c r="H60" s="23"/>
      <c r="I60" s="23"/>
      <c r="J60" s="27"/>
      <c r="K60" s="31"/>
      <c r="N60" s="3"/>
      <c r="O60" s="31"/>
      <c r="P60" s="7"/>
      <c r="Q60" s="7"/>
      <c r="R60" s="7"/>
    </row>
    <row r="61" spans="1:18" x14ac:dyDescent="0.3">
      <c r="A61" s="8"/>
      <c r="B61" s="6" t="s">
        <v>12</v>
      </c>
      <c r="C61" s="23"/>
      <c r="D61" s="23"/>
      <c r="E61" s="23"/>
      <c r="F61" s="27"/>
      <c r="G61" s="23"/>
      <c r="H61" s="23"/>
      <c r="I61" s="23"/>
      <c r="J61" s="27"/>
      <c r="K61" s="32"/>
      <c r="N61" s="3"/>
      <c r="O61" s="31"/>
      <c r="P61" s="7"/>
      <c r="Q61" s="7"/>
      <c r="R61" s="7"/>
    </row>
    <row r="62" spans="1:18" x14ac:dyDescent="0.3">
      <c r="A62" s="8"/>
      <c r="B62" s="6" t="s">
        <v>13</v>
      </c>
      <c r="C62" s="23"/>
      <c r="D62" s="23"/>
      <c r="E62" s="23"/>
      <c r="F62" s="27"/>
      <c r="G62" s="23"/>
      <c r="H62" s="23"/>
      <c r="I62" s="23"/>
      <c r="J62" s="27"/>
      <c r="K62" s="32"/>
      <c r="L62" s="33"/>
      <c r="N62" s="3"/>
      <c r="O62" s="31"/>
      <c r="P62" s="7"/>
      <c r="Q62" s="7"/>
      <c r="R62" s="7"/>
    </row>
    <row r="63" spans="1:18" x14ac:dyDescent="0.3">
      <c r="A63" s="8"/>
      <c r="B63" s="6" t="s">
        <v>14</v>
      </c>
      <c r="C63" s="23"/>
      <c r="D63" s="23"/>
      <c r="E63" s="23"/>
      <c r="F63" s="27"/>
      <c r="G63" s="23"/>
      <c r="H63" s="23"/>
      <c r="I63" s="23"/>
      <c r="J63" s="27"/>
      <c r="K63" s="32"/>
      <c r="N63" s="3"/>
      <c r="O63" s="31"/>
      <c r="P63" s="7"/>
      <c r="Q63" s="7"/>
      <c r="R63" s="7"/>
    </row>
    <row r="64" spans="1:18" x14ac:dyDescent="0.3">
      <c r="B64" s="6" t="s">
        <v>15</v>
      </c>
      <c r="C64" s="27"/>
      <c r="D64" s="23"/>
      <c r="E64" s="23"/>
      <c r="F64" s="23"/>
      <c r="G64" s="23"/>
      <c r="H64" s="27"/>
      <c r="I64" s="27"/>
      <c r="J64" s="27"/>
      <c r="K64" s="34"/>
      <c r="M64" s="3"/>
      <c r="N64" s="3"/>
    </row>
    <row r="65" spans="1:14" ht="28.8" x14ac:dyDescent="0.3">
      <c r="A65" s="9"/>
      <c r="B65" s="6" t="s">
        <v>16</v>
      </c>
      <c r="C65" s="23"/>
      <c r="D65" s="23"/>
      <c r="E65" s="23"/>
      <c r="F65" s="27"/>
      <c r="G65" s="23"/>
      <c r="H65" s="23"/>
      <c r="I65" s="23"/>
      <c r="J65" s="27"/>
      <c r="K65" s="43"/>
      <c r="M65" s="35"/>
      <c r="N65" s="3"/>
    </row>
    <row r="66" spans="1:14" ht="28.8" x14ac:dyDescent="0.3">
      <c r="A66" s="2" t="s">
        <v>23</v>
      </c>
      <c r="B66" s="5" t="s">
        <v>17</v>
      </c>
      <c r="C66" s="23"/>
      <c r="D66" s="23"/>
      <c r="E66" s="24"/>
      <c r="F66" s="24"/>
      <c r="G66" s="23"/>
      <c r="H66" s="23"/>
      <c r="I66" s="27"/>
      <c r="J66" s="27"/>
      <c r="K66" s="31"/>
      <c r="M66" s="3"/>
      <c r="N66" s="3"/>
    </row>
    <row r="67" spans="1:14" ht="28.8" x14ac:dyDescent="0.3">
      <c r="B67" s="6" t="s">
        <v>10</v>
      </c>
      <c r="C67" s="23"/>
      <c r="D67" s="23"/>
      <c r="E67" s="23"/>
      <c r="F67" s="23"/>
      <c r="G67" s="23"/>
      <c r="H67" s="23"/>
      <c r="I67" s="27"/>
      <c r="J67" s="27"/>
      <c r="L67" s="31"/>
      <c r="M67" s="31"/>
      <c r="N67" s="3"/>
    </row>
    <row r="68" spans="1:14" x14ac:dyDescent="0.3">
      <c r="B68" s="5" t="s">
        <v>18</v>
      </c>
      <c r="C68" s="27"/>
      <c r="D68" s="27"/>
      <c r="E68" s="27"/>
      <c r="F68" s="27"/>
      <c r="G68" s="27"/>
      <c r="H68" s="27"/>
      <c r="I68" s="27"/>
      <c r="J68" s="27"/>
      <c r="L68" s="31"/>
      <c r="M68" s="31"/>
      <c r="N68" s="3"/>
    </row>
    <row r="69" spans="1:14" ht="28.8" x14ac:dyDescent="0.3">
      <c r="B69" s="6" t="s">
        <v>10</v>
      </c>
      <c r="C69" s="23"/>
      <c r="D69" s="23"/>
      <c r="E69" s="23"/>
      <c r="F69" s="23"/>
      <c r="G69" s="23"/>
      <c r="H69" s="23"/>
      <c r="I69" s="27"/>
      <c r="J69" s="27"/>
      <c r="L69" s="31"/>
      <c r="M69" s="31"/>
      <c r="N69" s="3"/>
    </row>
    <row r="70" spans="1:14" ht="30.75" customHeight="1" x14ac:dyDescent="0.3">
      <c r="A70" s="3"/>
      <c r="B70" s="6" t="s">
        <v>14</v>
      </c>
      <c r="C70" s="23"/>
      <c r="D70" s="23"/>
      <c r="E70" s="23"/>
      <c r="F70" s="23"/>
      <c r="G70" s="23"/>
      <c r="H70" s="23"/>
      <c r="I70" s="27"/>
      <c r="J70" s="27"/>
      <c r="M70" s="3"/>
      <c r="N70" s="3"/>
    </row>
    <row r="71" spans="1:14" x14ac:dyDescent="0.3">
      <c r="A71" s="3"/>
      <c r="B71" s="11" t="s">
        <v>19</v>
      </c>
      <c r="C71" s="3">
        <f>SUM(C56:C70)</f>
        <v>0</v>
      </c>
      <c r="D71" s="3">
        <f>SUM(D56:D70)</f>
        <v>0</v>
      </c>
      <c r="E71" s="3">
        <f t="shared" ref="E71:F71" si="11">SUM(E56:E70)</f>
        <v>0</v>
      </c>
      <c r="F71" s="3"/>
      <c r="G71" s="3">
        <f>SUM(G56:G70)</f>
        <v>0</v>
      </c>
      <c r="H71" s="3">
        <f>SUM(H56:H70)</f>
        <v>0</v>
      </c>
      <c r="J71" s="3"/>
      <c r="L71" s="34"/>
      <c r="M71" s="3"/>
      <c r="N71" s="3"/>
    </row>
    <row r="72" spans="1:14" ht="32.25" customHeight="1" x14ac:dyDescent="0.3">
      <c r="A72" s="3"/>
      <c r="B72" s="11"/>
      <c r="C72" s="31"/>
      <c r="D72" s="31"/>
      <c r="E72" s="3"/>
      <c r="F72" s="3"/>
      <c r="G72" s="31"/>
      <c r="I72" s="36"/>
      <c r="J72" s="3"/>
      <c r="M72" s="3"/>
      <c r="N72" s="3"/>
    </row>
    <row r="74" spans="1:14" x14ac:dyDescent="0.3">
      <c r="C74" s="31">
        <f>C71+C52+C35+C19</f>
        <v>0</v>
      </c>
      <c r="D74" s="31">
        <f t="shared" ref="D74:E74" si="12">D71+D52+D35+D19</f>
        <v>0</v>
      </c>
      <c r="E74" s="31">
        <f t="shared" si="12"/>
        <v>0</v>
      </c>
      <c r="G74" s="3"/>
    </row>
    <row r="75" spans="1:14" x14ac:dyDescent="0.3">
      <c r="C75" s="44"/>
      <c r="D75" s="45"/>
      <c r="G75" s="3"/>
      <c r="H75" s="3"/>
    </row>
    <row r="77" spans="1:14" x14ac:dyDescent="0.3">
      <c r="C77" s="46"/>
      <c r="D77" s="46" t="s">
        <v>24</v>
      </c>
      <c r="E77" s="46" t="s">
        <v>25</v>
      </c>
      <c r="F77" s="46" t="s">
        <v>26</v>
      </c>
      <c r="G77" s="46" t="s">
        <v>27</v>
      </c>
    </row>
    <row r="78" spans="1:14" x14ac:dyDescent="0.3">
      <c r="C78" s="46"/>
      <c r="D78" s="47">
        <f>D79+D80+D81+D82</f>
        <v>0</v>
      </c>
      <c r="E78" s="47">
        <f>E79+E80+E81+E82</f>
        <v>0</v>
      </c>
      <c r="F78" s="47">
        <f>F79+F80+F81+F82</f>
        <v>0</v>
      </c>
      <c r="G78" s="47" t="e">
        <f>E78/D78</f>
        <v>#DIV/0!</v>
      </c>
    </row>
    <row r="79" spans="1:14" x14ac:dyDescent="0.3">
      <c r="C79" s="46" t="s">
        <v>21</v>
      </c>
      <c r="D79" s="47">
        <f>C35</f>
        <v>0</v>
      </c>
      <c r="E79" s="47">
        <f>D35</f>
        <v>0</v>
      </c>
      <c r="F79" s="47">
        <f>G35</f>
        <v>0</v>
      </c>
      <c r="G79" s="47" t="e">
        <f>E79/D79</f>
        <v>#DIV/0!</v>
      </c>
      <c r="I79" s="31"/>
      <c r="J79" s="31"/>
      <c r="K79" s="31"/>
    </row>
    <row r="80" spans="1:14" x14ac:dyDescent="0.3">
      <c r="C80" s="46" t="s">
        <v>22</v>
      </c>
      <c r="D80" s="47">
        <f>C52</f>
        <v>0</v>
      </c>
      <c r="E80" s="47">
        <f>D52</f>
        <v>0</v>
      </c>
      <c r="F80" s="47">
        <f>G52</f>
        <v>0</v>
      </c>
      <c r="G80" s="47" t="e">
        <f>E80/D80</f>
        <v>#DIV/0!</v>
      </c>
      <c r="I80" s="31"/>
      <c r="J80" s="31"/>
      <c r="K80" s="31"/>
    </row>
    <row r="81" spans="3:11" x14ac:dyDescent="0.3">
      <c r="C81" s="46" t="s">
        <v>8</v>
      </c>
      <c r="D81" s="47">
        <f>C19</f>
        <v>0</v>
      </c>
      <c r="E81" s="47">
        <f>D19</f>
        <v>0</v>
      </c>
      <c r="F81" s="47">
        <f>G19</f>
        <v>0</v>
      </c>
      <c r="G81" s="47" t="e">
        <f>E81/D81</f>
        <v>#DIV/0!</v>
      </c>
      <c r="I81" s="31"/>
      <c r="J81" s="31"/>
      <c r="K81" s="31"/>
    </row>
    <row r="82" spans="3:11" x14ac:dyDescent="0.3">
      <c r="C82" s="46" t="s">
        <v>28</v>
      </c>
      <c r="D82" s="47">
        <f>C71</f>
        <v>0</v>
      </c>
      <c r="E82" s="47">
        <f>D71</f>
        <v>0</v>
      </c>
      <c r="F82" s="47">
        <f>G71</f>
        <v>0</v>
      </c>
      <c r="G82" s="47" t="e">
        <f>E82/D82</f>
        <v>#DIV/0!</v>
      </c>
    </row>
    <row r="83" spans="3:11" x14ac:dyDescent="0.3">
      <c r="D83" s="31"/>
      <c r="F83" s="45"/>
    </row>
    <row r="84" spans="3:11" x14ac:dyDescent="0.3">
      <c r="D84" s="3"/>
    </row>
    <row r="85" spans="3:11" x14ac:dyDescent="0.3">
      <c r="D85" s="3"/>
    </row>
    <row r="87" spans="3:11" x14ac:dyDescent="0.3">
      <c r="D87" s="3"/>
    </row>
    <row r="88" spans="3:11" x14ac:dyDescent="0.3">
      <c r="C88" s="3"/>
      <c r="D88" s="3"/>
    </row>
    <row r="89" spans="3:11" x14ac:dyDescent="0.3">
      <c r="D89" s="3"/>
    </row>
    <row r="92" spans="3:11" x14ac:dyDescent="0.3">
      <c r="D92" s="3"/>
    </row>
  </sheetData>
  <mergeCells count="9">
    <mergeCell ref="C54:F54"/>
    <mergeCell ref="G54:J54"/>
    <mergeCell ref="C37:F37"/>
    <mergeCell ref="G37:J37"/>
    <mergeCell ref="C2:F2"/>
    <mergeCell ref="G2:J2"/>
    <mergeCell ref="C21:F21"/>
    <mergeCell ref="G21:J21"/>
    <mergeCell ref="K21:K22"/>
  </mergeCells>
  <phoneticPr fontId="6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Шукурова Нэля Камильевна</dc:creator>
  <cp:lastModifiedBy>никуленков егор</cp:lastModifiedBy>
  <dcterms:created xsi:type="dcterms:W3CDTF">2020-10-16T06:24:24Z</dcterms:created>
  <dcterms:modified xsi:type="dcterms:W3CDTF">2025-09-16T03:55:12Z</dcterms:modified>
</cp:coreProperties>
</file>