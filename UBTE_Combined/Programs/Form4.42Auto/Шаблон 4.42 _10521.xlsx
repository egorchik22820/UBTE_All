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gor\source\repos\Form4.42Auto\Ex\"/>
    </mc:Choice>
  </mc:AlternateContent>
  <xr:revisionPtr revIDLastSave="0" documentId="13_ncr:1_{D619A77B-2C05-4A4F-8EEF-47A3BA7281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sPar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94" i="1" l="1"/>
  <c r="T93" i="1"/>
  <c r="T92" i="1"/>
  <c r="T91" i="1"/>
  <c r="T90" i="1"/>
  <c r="T89" i="1"/>
  <c r="T88" i="1"/>
  <c r="T86" i="1"/>
  <c r="T85" i="1"/>
  <c r="T84" i="1"/>
  <c r="O104" i="1" l="1"/>
  <c r="N104" i="1"/>
  <c r="F104" i="1"/>
  <c r="S94" i="1"/>
  <c r="O94" i="1"/>
  <c r="N94" i="1"/>
  <c r="F94" i="1"/>
  <c r="S93" i="1"/>
  <c r="O93" i="1"/>
  <c r="N93" i="1"/>
  <c r="F93" i="1"/>
  <c r="S92" i="1"/>
  <c r="O92" i="1"/>
  <c r="N92" i="1"/>
  <c r="F92" i="1"/>
  <c r="S91" i="1"/>
  <c r="O91" i="1"/>
  <c r="N91" i="1"/>
  <c r="F91" i="1"/>
  <c r="S90" i="1"/>
  <c r="O90" i="1"/>
  <c r="N90" i="1"/>
  <c r="F90" i="1"/>
  <c r="S89" i="1"/>
  <c r="S87" i="1" s="1"/>
  <c r="O89" i="1"/>
  <c r="N89" i="1"/>
  <c r="F89" i="1"/>
  <c r="R87" i="1"/>
  <c r="R83" i="1" s="1"/>
  <c r="Q87" i="1"/>
  <c r="P87" i="1"/>
  <c r="P83" i="1" s="1"/>
  <c r="M87" i="1"/>
  <c r="L87" i="1"/>
  <c r="L83" i="1" s="1"/>
  <c r="K87" i="1"/>
  <c r="N87" i="1" s="1"/>
  <c r="J87" i="1"/>
  <c r="J83" i="1" s="1"/>
  <c r="I87" i="1"/>
  <c r="I83" i="1" s="1"/>
  <c r="H87" i="1"/>
  <c r="G87" i="1"/>
  <c r="G83" i="1" s="1"/>
  <c r="S86" i="1"/>
  <c r="O86" i="1"/>
  <c r="N86" i="1"/>
  <c r="F86" i="1"/>
  <c r="S85" i="1"/>
  <c r="O85" i="1"/>
  <c r="N85" i="1"/>
  <c r="F85" i="1"/>
  <c r="Q83" i="1"/>
  <c r="M83" i="1"/>
  <c r="F87" i="1" l="1"/>
  <c r="O87" i="1"/>
  <c r="H83" i="1"/>
  <c r="T87" i="1"/>
  <c r="S83" i="1"/>
  <c r="F83" i="1"/>
  <c r="O83" i="1"/>
  <c r="K83" i="1"/>
  <c r="N83" i="1" s="1"/>
  <c r="T83" i="1" l="1"/>
</calcChain>
</file>

<file path=xl/sharedStrings.xml><?xml version="1.0" encoding="utf-8"?>
<sst xmlns="http://schemas.openxmlformats.org/spreadsheetml/2006/main" count="157" uniqueCount="103">
  <si>
    <t>Макет 4.42 Сведения об оплате и задолженности за поставленную тепловую энергию (мощность), теплоноситель и услуги по передаче тепловой энергии, теплоносителя (10521)</t>
  </si>
  <si>
    <t>Дата отчётности</t>
  </si>
  <si>
    <t>Объект наблюдения</t>
  </si>
  <si>
    <t>Раздел Конфиденциальность</t>
  </si>
  <si>
    <t>Наименование</t>
  </si>
  <si>
    <t>Код стр.</t>
  </si>
  <si>
    <t>Сведения, содержащиеся в форме, составляют коммерческую тайну</t>
  </si>
  <si>
    <t>Варианты ответа (да/нет)</t>
  </si>
  <si>
    <t>Гр1</t>
  </si>
  <si>
    <t>Раздел Кодовые привязки</t>
  </si>
  <si>
    <t>Наименование организации, предоставляющей информацию</t>
  </si>
  <si>
    <t>Почтовый адрес организации, предоставляющей информацию</t>
  </si>
  <si>
    <t>Значение</t>
  </si>
  <si>
    <t>Раздел Кодовые привязки-2</t>
  </si>
  <si>
    <t>Код отчитывающейся организации по ОГРН</t>
  </si>
  <si>
    <t>Раздел Кодовые привязки-3</t>
  </si>
  <si>
    <t>Код ИНН отчитывающейся организации</t>
  </si>
  <si>
    <t>Раздел Кодовые привязки-4</t>
  </si>
  <si>
    <t>Код отчитывающейся организации по ОКПО</t>
  </si>
  <si>
    <t>Раздел Кодовые привязки-5</t>
  </si>
  <si>
    <t>Наименование обособленного подразделения</t>
  </si>
  <si>
    <t>Фактический адрес обособленного подразделения</t>
  </si>
  <si>
    <t>Раздел Причина направления в ГИС ТЭК пустого (нулевого) макета</t>
  </si>
  <si>
    <t>Организация осуществляла деятельность по теплоснабжению (оказанию услуг по передаче тепловой энергии) в отчетном периоде</t>
  </si>
  <si>
    <t>Раздел 1. Данные об оплате и задолженности за поставленную тепловую энергию (мощность), теплоноситель (с учетом НДС)</t>
  </si>
  <si>
    <t>Группа потребителей</t>
  </si>
  <si>
    <t>Всего</t>
  </si>
  <si>
    <t>в том числе:</t>
  </si>
  <si>
    <t>1. Промышленные и приравненные к ним категории потребителей</t>
  </si>
  <si>
    <t>2. Организации, подведомственные Минобороны России</t>
  </si>
  <si>
    <t xml:space="preserve">3. Бюджетные, автономные и казенные организации (без учета организаций, подведомственных Минобороны России), ВСЕГО </t>
  </si>
  <si>
    <t>из них:</t>
  </si>
  <si>
    <t>3.1 финансируемые из федерального бюджета (без учета организаций, подведомственных Минобороны России)</t>
  </si>
  <si>
    <t xml:space="preserve">3.2 финансируемые из бюджетов субъектов Российской Федерации или местного бюджета, ВСЕГО </t>
  </si>
  <si>
    <t>4. Население и исполнители коммунальных услуг</t>
  </si>
  <si>
    <t>5. Теплоснабжающие организации (без учета организаций, подведомственных  Минобороны России)</t>
  </si>
  <si>
    <t>6. Прочие потребители  (без учета организаций, подведомственных Минобороны России)</t>
  </si>
  <si>
    <t>7. Тепловая энергия (мощность), отпускаемая в целях компенсации потерь тепловой энергии иным организациям</t>
  </si>
  <si>
    <t>Задолженность на начало отчетного периода (сальдо), тыс. руб., в том числе:</t>
  </si>
  <si>
    <t>кредиторская задолженность на начало отчетного периода ВСЕГО (остаток авансовых платежей на начало отчетного периода полученных за тепловую энергию (мощность), теплоноситель), тыс. руб</t>
  </si>
  <si>
    <t>Гр2</t>
  </si>
  <si>
    <t>дебиторская задолженность на начало отчетного периода ВСЕГО, тыс. руб.</t>
  </si>
  <si>
    <t>Гр3</t>
  </si>
  <si>
    <t>Фактический отпуск тепловой энергии (мощности), теплоносителя за отчетный период,  Гкал</t>
  </si>
  <si>
    <t>Гр4</t>
  </si>
  <si>
    <t>Фактический отпуск теплоносителя за отчетный период, м3</t>
  </si>
  <si>
    <t>Гр5</t>
  </si>
  <si>
    <t>Фактические начисления  за потребленную тепловую энергию (мощность), теплоноситель за отчетный период, тыс. руб.</t>
  </si>
  <si>
    <t>Гр6</t>
  </si>
  <si>
    <t>Фактическая сумма поступивших платежей за потребленную тепловую энергию (мощность), теплоноситель за отчетный период, тыс. руб.</t>
  </si>
  <si>
    <t>Гр7</t>
  </si>
  <si>
    <t>Списано безнадежной к взысканию  задолженности за отчетный период, тыс. руб.</t>
  </si>
  <si>
    <t>Гр8</t>
  </si>
  <si>
    <t>процент оплаты за отчетный период</t>
  </si>
  <si>
    <t>Гр9</t>
  </si>
  <si>
    <t>Задолженность на конец отчетного периода (сальдо), тыс. руб.</t>
  </si>
  <si>
    <t>Гр10</t>
  </si>
  <si>
    <t>кредиторская задолженность на конец отчетного периода ВСЕГО (остаток авансовых платежей на конец отчетного периода полученных за тепловую энергию (мощность), теплоноситель), тыс. руб.</t>
  </si>
  <si>
    <t>Гр11</t>
  </si>
  <si>
    <t>дебиторская задолженность на конец отчетного периода, тыс. руб., из нее:</t>
  </si>
  <si>
    <t>Гр12</t>
  </si>
  <si>
    <t>Текущая дебиторская задолженность на конец отчетного периода, тыс. руб.</t>
  </si>
  <si>
    <t>Гр13</t>
  </si>
  <si>
    <t>Просроченная дебиторская задолженность на конец отчетного периода, тыс. руб.</t>
  </si>
  <si>
    <t>Гр14</t>
  </si>
  <si>
    <t>Раздел 2. Данные об оплате и задолженности за оказанные услуги по передаче тепловой энергии, теплоносителя (с учетом НДС)</t>
  </si>
  <si>
    <t>Услуги по передаче тепловой энергии, теплоносителя</t>
  </si>
  <si>
    <t>кредиторская задолженность на начало отчетного периода ВСЕГО, тыс. руб</t>
  </si>
  <si>
    <t>Фактический объем оказанных услуг по передаче тепловой энергии - за отчетный период, Гкал</t>
  </si>
  <si>
    <t>Фактический объем оказанных услуг по передаче  теплоносителя за отчетный период, м3</t>
  </si>
  <si>
    <t>Фактические начисления за оказанные услуги по передаче тепловой энергии, теплоносителя за отчетный период, тыс. руб.</t>
  </si>
  <si>
    <t>Фактическая сумма поступивших платежей за услуги по передаче тепловой энергии, теплоносителя  за отчетный период, тыс. руб.</t>
  </si>
  <si>
    <t>Задолженность на конец отчетного периода (сальдо), тыс. руб., в том числе:</t>
  </si>
  <si>
    <t>кредиторская задолженность на конец отчетного периода ВСЕГО, тыс. руб.</t>
  </si>
  <si>
    <t>Раздел 3. Контактная информация</t>
  </si>
  <si>
    <t>Контактная информация</t>
  </si>
  <si>
    <t>Руководитель организации, предоставляющей информацию</t>
  </si>
  <si>
    <t>Работник, ответственный за заполнение формы</t>
  </si>
  <si>
    <t>Фамилия, имя, отчество (при наличии)</t>
  </si>
  <si>
    <t>Должность</t>
  </si>
  <si>
    <t>Номер телефона (с кодом города)</t>
  </si>
  <si>
    <t>Адрес электронной почты (при наличии)</t>
  </si>
  <si>
    <t>&lt;&lt; &gt;&gt;</t>
  </si>
  <si>
    <t>Версия admin_net - 1.0.3.1</t>
  </si>
  <si>
    <t>Версия АРМ - 25.07.2025 10.52.20</t>
  </si>
  <si>
    <t>ДА</t>
  </si>
  <si>
    <t>НЕТ</t>
  </si>
  <si>
    <t>25.07.2025</t>
  </si>
  <si>
    <t>Оренбург</t>
  </si>
  <si>
    <t>филиал" Оренбургский " ПАО "Т Плюс"</t>
  </si>
  <si>
    <t>460024 г.Оренбург ул.Аксакова,3</t>
  </si>
  <si>
    <t>1056315070350</t>
  </si>
  <si>
    <t>6315376946</t>
  </si>
  <si>
    <t>77255940</t>
  </si>
  <si>
    <t>Оренбургский филиал ПАО "Т Плюс"г.Оренбург</t>
  </si>
  <si>
    <t>Великороднов Валерий Александрович</t>
  </si>
  <si>
    <t>Директор филиала</t>
  </si>
  <si>
    <t>+7(3532)79-78-50</t>
  </si>
  <si>
    <t>Valeriy.Velikorodnov@tplusgroup.ru</t>
  </si>
  <si>
    <t>Толокнянник Светлана Ивановна</t>
  </si>
  <si>
    <t>Главный специалист Управления анализа и прогнозирования</t>
  </si>
  <si>
    <t>+7(3532)34-73-83</t>
  </si>
  <si>
    <t>Svetlana.Toloknyannik@esplus.ru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</si>
</sst>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#,###,##0.000"/>
    <numFmt numFmtId="165" formatCode="###,###,###,##0.0"/>
    <numFmt numFmtId="166" formatCode="#,##0.000000"/>
  </numFmts>
  <fonts count="17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sz val="11"/>
      <color rgb="FFFFFFFF"/>
      <name val="Arial"/>
      <family val="2"/>
      <charset val="204"/>
    </font>
    <font>
      <b/>
      <sz val="9"/>
      <color rgb="FFFFFFFF"/>
      <name val="Arial"/>
      <family val="2"/>
      <charset val="204"/>
    </font>
    <font>
      <b/>
      <sz val="12"/>
      <color rgb="FFFFFFFF"/>
      <name val="Arial"/>
      <family val="2"/>
      <charset val="204"/>
    </font>
    <font>
      <b/>
      <sz val="16"/>
      <color theme="1"/>
      <name val="Arial"/>
      <family val="2"/>
      <charset val="204"/>
    </font>
    <font>
      <sz val="14"/>
      <color rgb="FFFFFFFF"/>
      <name val="Arial"/>
      <family val="2"/>
      <charset val="204"/>
    </font>
    <font>
      <sz val="5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5"/>
      <color rgb="FFFFFFFF"/>
      <name val="Arial"/>
      <family val="2"/>
      <charset val="204"/>
    </font>
    <font>
      <b/>
      <sz val="14"/>
      <color rgb="FFFFFFFF"/>
      <name val="Arial"/>
      <family val="2"/>
      <charset val="204"/>
    </font>
    <font>
      <b/>
      <sz val="12"/>
      <color rgb="FF0000FF"/>
      <name val="Arial"/>
      <family val="2"/>
      <charset val="204"/>
    </font>
    <font>
      <sz val="11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FFFFFF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rgb="FFD3D3D3"/>
      </left>
      <right style="hair">
        <color rgb="FFD3D3D3"/>
      </right>
      <top style="hair">
        <color rgb="FFD3D3D3"/>
      </top>
      <bottom style="hair">
        <color rgb="FFD3D3D3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indexed="64"/>
      </bottom>
      <diagonal/>
    </border>
    <border>
      <left style="hair">
        <color rgb="FFD3D3D3"/>
      </left>
      <right style="hair">
        <color rgb="FFD3D3D3"/>
      </right>
      <top style="medium">
        <color indexed="64"/>
      </top>
      <bottom style="hair">
        <color rgb="FFD3D3D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rgb="FFD3D3D3"/>
      </left>
      <right style="hair">
        <color rgb="FFD3D3D3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rgb="FFD3D3D3"/>
      </left>
      <right style="hair">
        <color rgb="FFD3D3D3"/>
      </right>
      <top style="hair">
        <color rgb="FFD3D3D3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hair">
        <color rgb="FFD3D3D3"/>
      </right>
      <top style="hair">
        <color rgb="FFD3D3D3"/>
      </top>
      <bottom style="hair">
        <color rgb="FFD3D3D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rgb="FFD3D3D3"/>
      </left>
      <right style="medium">
        <color indexed="64"/>
      </right>
      <top style="hair">
        <color rgb="FFD3D3D3"/>
      </top>
      <bottom style="hair">
        <color rgb="FFD3D3D3"/>
      </bottom>
      <diagonal/>
    </border>
    <border>
      <left style="medium">
        <color indexed="64"/>
      </left>
      <right style="hair">
        <color rgb="FFD3D3D3"/>
      </right>
      <top style="hair">
        <color rgb="FFD3D3D3"/>
      </top>
      <bottom style="medium">
        <color indexed="64"/>
      </bottom>
      <diagonal/>
    </border>
    <border>
      <left style="medium">
        <color indexed="64"/>
      </left>
      <right style="hair">
        <color rgb="FFD3D3D3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D3D3D3"/>
      </bottom>
      <diagonal/>
    </border>
    <border>
      <left style="hair">
        <color rgb="FFD3D3D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rgb="FFD3D3D3"/>
      </left>
      <right style="medium">
        <color indexed="64"/>
      </right>
      <top style="hair">
        <color rgb="FFD3D3D3"/>
      </top>
      <bottom style="medium">
        <color indexed="64"/>
      </bottom>
      <diagonal/>
    </border>
    <border>
      <left style="hair">
        <color rgb="FFD3D3D3"/>
      </left>
      <right style="medium">
        <color indexed="64"/>
      </right>
      <top style="medium">
        <color indexed="64"/>
      </top>
      <bottom style="hair">
        <color rgb="FFD3D3D3"/>
      </bottom>
      <diagonal/>
    </border>
    <border>
      <left style="medium">
        <color indexed="64"/>
      </left>
      <right style="medium">
        <color indexed="64"/>
      </right>
      <top style="hair">
        <color rgb="FFD3D3D3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rgb="FFD3D3D3"/>
      </right>
      <top style="medium">
        <color indexed="64"/>
      </top>
      <bottom style="hair">
        <color rgb="FFD3D3D3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4" fontId="5" fillId="2" borderId="3" xfId="0" applyNumberFormat="1" applyFont="1" applyFill="1" applyBorder="1" applyAlignment="1" applyProtection="1">
      <alignment vertical="center" wrapText="1"/>
    </xf>
    <xf numFmtId="0" fontId="6" fillId="0" borderId="4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164" fontId="5" fillId="0" borderId="3" xfId="0" applyNumberFormat="1" applyFont="1" applyBorder="1" applyAlignment="1" applyProtection="1">
      <alignment vertical="center" wrapText="1"/>
      <protection locked="0"/>
    </xf>
    <xf numFmtId="0" fontId="2" fillId="0" borderId="6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4" fontId="10" fillId="3" borderId="3" xfId="0" applyNumberFormat="1" applyFont="1" applyFill="1" applyBorder="1" applyAlignment="1" applyProtection="1">
      <alignment vertical="center" wrapText="1"/>
    </xf>
    <xf numFmtId="164" fontId="10" fillId="3" borderId="7" xfId="0" applyNumberFormat="1" applyFont="1" applyFill="1" applyBorder="1" applyAlignment="1" applyProtection="1">
      <alignment vertical="center" wrapText="1"/>
    </xf>
    <xf numFmtId="0" fontId="2" fillId="0" borderId="8" xfId="0" applyFont="1" applyBorder="1" applyAlignment="1">
      <alignment vertical="center"/>
    </xf>
    <xf numFmtId="164" fontId="5" fillId="0" borderId="9" xfId="0" applyNumberFormat="1" applyFont="1" applyBorder="1" applyAlignment="1" applyProtection="1">
      <alignment vertical="center" wrapText="1"/>
      <protection locked="0"/>
    </xf>
    <xf numFmtId="0" fontId="2" fillId="0" borderId="10" xfId="0" applyFont="1" applyBorder="1" applyAlignment="1">
      <alignment vertical="center"/>
    </xf>
    <xf numFmtId="164" fontId="5" fillId="0" borderId="11" xfId="0" applyNumberFormat="1" applyFont="1" applyBorder="1" applyAlignment="1" applyProtection="1">
      <alignment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/>
    </xf>
    <xf numFmtId="0" fontId="3" fillId="0" borderId="8" xfId="0" applyFont="1" applyBorder="1" applyAlignment="1">
      <alignment vertical="center" wrapText="1"/>
    </xf>
    <xf numFmtId="0" fontId="13" fillId="0" borderId="12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8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164" fontId="5" fillId="4" borderId="3" xfId="0" applyNumberFormat="1" applyFont="1" applyFill="1" applyBorder="1" applyAlignment="1" applyProtection="1">
      <alignment vertical="center" wrapText="1"/>
      <protection locked="0"/>
    </xf>
    <xf numFmtId="0" fontId="3" fillId="0" borderId="10" xfId="0" applyFont="1" applyBorder="1" applyAlignment="1">
      <alignment vertical="center" wrapText="1"/>
    </xf>
    <xf numFmtId="0" fontId="14" fillId="0" borderId="12" xfId="0" applyFont="1" applyBorder="1" applyAlignment="1">
      <alignment vertical="top"/>
    </xf>
    <xf numFmtId="49" fontId="5" fillId="4" borderId="2" xfId="0" applyNumberFormat="1" applyFont="1" applyFill="1" applyBorder="1" applyAlignment="1" applyProtection="1">
      <alignment vertical="center" wrapText="1"/>
      <protection locked="0"/>
    </xf>
    <xf numFmtId="164" fontId="10" fillId="3" borderId="13" xfId="0" applyNumberFormat="1" applyFont="1" applyFill="1" applyBorder="1" applyAlignment="1" applyProtection="1">
      <alignment vertical="center" wrapText="1"/>
    </xf>
    <xf numFmtId="49" fontId="5" fillId="4" borderId="11" xfId="0" applyNumberFormat="1" applyFont="1" applyFill="1" applyBorder="1" applyAlignment="1" applyProtection="1">
      <alignment vertical="center" wrapText="1"/>
      <protection locked="0"/>
    </xf>
    <xf numFmtId="165" fontId="5" fillId="2" borderId="3" xfId="0" applyNumberFormat="1" applyFont="1" applyFill="1" applyBorder="1" applyAlignment="1" applyProtection="1">
      <alignment vertical="center" wrapText="1"/>
    </xf>
    <xf numFmtId="49" fontId="5" fillId="5" borderId="2" xfId="0" applyNumberFormat="1" applyFont="1" applyFill="1" applyBorder="1" applyAlignment="1" applyProtection="1">
      <alignment vertical="center" wrapText="1"/>
      <protection locked="0"/>
    </xf>
    <xf numFmtId="0" fontId="3" fillId="0" borderId="14" xfId="0" applyFont="1" applyBorder="1" applyAlignment="1">
      <alignment vertical="center" wrapText="1"/>
    </xf>
    <xf numFmtId="165" fontId="10" fillId="3" borderId="3" xfId="0" applyNumberFormat="1" applyFont="1" applyFill="1" applyBorder="1" applyAlignment="1" applyProtection="1">
      <alignment vertical="center" wrapText="1"/>
    </xf>
    <xf numFmtId="164" fontId="5" fillId="2" borderId="15" xfId="0" applyNumberFormat="1" applyFont="1" applyFill="1" applyBorder="1" applyAlignment="1" applyProtection="1">
      <alignment vertical="center" wrapText="1"/>
    </xf>
    <xf numFmtId="164" fontId="10" fillId="3" borderId="15" xfId="0" applyNumberFormat="1" applyFont="1" applyFill="1" applyBorder="1" applyAlignment="1" applyProtection="1">
      <alignment vertical="center" wrapText="1"/>
    </xf>
    <xf numFmtId="0" fontId="15" fillId="0" borderId="0" xfId="0" applyFont="1" applyAlignment="1">
      <alignment horizontal="left" vertical="center"/>
    </xf>
    <xf numFmtId="0" fontId="2" fillId="0" borderId="14" xfId="0" applyFont="1" applyBorder="1" applyAlignment="1">
      <alignment vertical="center"/>
    </xf>
    <xf numFmtId="164" fontId="5" fillId="4" borderId="9" xfId="0" applyNumberFormat="1" applyFont="1" applyFill="1" applyBorder="1" applyAlignment="1" applyProtection="1">
      <alignment vertical="center" wrapText="1"/>
      <protection locked="0"/>
    </xf>
    <xf numFmtId="49" fontId="5" fillId="4" borderId="7" xfId="0" applyNumberFormat="1" applyFont="1" applyFill="1" applyBorder="1" applyAlignment="1" applyProtection="1">
      <alignment vertical="center" wrapText="1"/>
      <protection locked="0"/>
    </xf>
    <xf numFmtId="164" fontId="5" fillId="4" borderId="11" xfId="0" applyNumberFormat="1" applyFont="1" applyFill="1" applyBorder="1" applyAlignment="1" applyProtection="1">
      <alignment vertical="center" wrapText="1"/>
      <protection locked="0"/>
    </xf>
    <xf numFmtId="164" fontId="5" fillId="2" borderId="13" xfId="0" applyNumberFormat="1" applyFont="1" applyFill="1" applyBorder="1" applyAlignment="1" applyProtection="1">
      <alignment vertical="center" wrapText="1"/>
    </xf>
    <xf numFmtId="165" fontId="10" fillId="3" borderId="7" xfId="0" applyNumberFormat="1" applyFont="1" applyFill="1" applyBorder="1" applyAlignment="1" applyProtection="1">
      <alignment vertical="center" wrapText="1"/>
    </xf>
    <xf numFmtId="49" fontId="5" fillId="4" borderId="16" xfId="0" applyNumberFormat="1" applyFont="1" applyFill="1" applyBorder="1" applyAlignment="1" applyProtection="1">
      <alignment vertical="center" wrapText="1"/>
      <protection locked="0"/>
    </xf>
    <xf numFmtId="164" fontId="10" fillId="3" borderId="17" xfId="0" applyNumberFormat="1" applyFont="1" applyFill="1" applyBorder="1" applyAlignment="1" applyProtection="1">
      <alignment vertical="center" wrapText="1"/>
    </xf>
    <xf numFmtId="49" fontId="15" fillId="0" borderId="0" xfId="0" applyNumberFormat="1" applyFont="1" applyAlignment="1">
      <alignment horizontal="left" vertical="center"/>
    </xf>
    <xf numFmtId="16" fontId="3" fillId="0" borderId="14" xfId="0" applyNumberFormat="1" applyFont="1" applyBorder="1" applyAlignment="1">
      <alignment vertical="center" wrapText="1"/>
    </xf>
    <xf numFmtId="49" fontId="5" fillId="0" borderId="18" xfId="0" applyNumberFormat="1" applyFont="1" applyBorder="1" applyAlignment="1" applyProtection="1">
      <alignment vertical="center" wrapText="1"/>
      <protection locked="0"/>
    </xf>
    <xf numFmtId="164" fontId="5" fillId="0" borderId="19" xfId="0" applyNumberFormat="1" applyFont="1" applyBorder="1" applyAlignment="1" applyProtection="1">
      <alignment vertical="center" wrapText="1"/>
      <protection locked="0"/>
    </xf>
    <xf numFmtId="0" fontId="2" fillId="0" borderId="20" xfId="0" applyFont="1" applyBorder="1" applyAlignment="1">
      <alignment vertical="center"/>
    </xf>
    <xf numFmtId="49" fontId="5" fillId="4" borderId="21" xfId="0" applyNumberFormat="1" applyFont="1" applyFill="1" applyBorder="1" applyAlignment="1" applyProtection="1">
      <alignment vertical="center" wrapText="1"/>
      <protection locked="0"/>
    </xf>
    <xf numFmtId="164" fontId="10" fillId="3" borderId="16" xfId="0" applyNumberFormat="1" applyFont="1" applyFill="1" applyBorder="1" applyAlignment="1" applyProtection="1">
      <alignment vertical="center" wrapText="1"/>
    </xf>
    <xf numFmtId="49" fontId="5" fillId="4" borderId="18" xfId="0" applyNumberFormat="1" applyFont="1" applyFill="1" applyBorder="1" applyAlignment="1" applyProtection="1">
      <alignment vertical="center" wrapText="1"/>
      <protection locked="0"/>
    </xf>
    <xf numFmtId="49" fontId="5" fillId="4" borderId="22" xfId="0" applyNumberFormat="1" applyFont="1" applyFill="1" applyBorder="1" applyAlignment="1" applyProtection="1">
      <alignment vertical="center" wrapText="1"/>
      <protection locked="0"/>
    </xf>
    <xf numFmtId="0" fontId="12" fillId="0" borderId="14" xfId="0" applyFont="1" applyBorder="1" applyAlignment="1">
      <alignment horizontal="left" vertical="center"/>
    </xf>
    <xf numFmtId="49" fontId="5" fillId="4" borderId="23" xfId="0" applyNumberFormat="1" applyFont="1" applyFill="1" applyBorder="1" applyAlignment="1" applyProtection="1">
      <alignment vertical="center" wrapText="1"/>
      <protection locked="0"/>
    </xf>
    <xf numFmtId="164" fontId="10" fillId="3" borderId="11" xfId="0" applyNumberFormat="1" applyFont="1" applyFill="1" applyBorder="1" applyAlignment="1" applyProtection="1">
      <alignment vertical="center" wrapText="1"/>
    </xf>
    <xf numFmtId="49" fontId="5" fillId="0" borderId="23" xfId="0" applyNumberFormat="1" applyFont="1" applyBorder="1" applyAlignment="1" applyProtection="1">
      <alignment vertical="center" wrapText="1"/>
      <protection locked="0"/>
    </xf>
    <xf numFmtId="0" fontId="2" fillId="0" borderId="24" xfId="0" applyFont="1" applyBorder="1" applyAlignment="1">
      <alignment vertical="center"/>
    </xf>
    <xf numFmtId="0" fontId="2" fillId="0" borderId="0" xfId="0" applyFont="1" applyAlignment="1">
      <alignment vertical="center"/>
    </xf>
    <xf numFmtId="164" fontId="10" fillId="3" borderId="21" xfId="0" applyNumberFormat="1" applyFont="1" applyFill="1" applyBorder="1" applyAlignment="1" applyProtection="1">
      <alignment vertical="center" wrapText="1"/>
    </xf>
    <xf numFmtId="0" fontId="2" fillId="0" borderId="25" xfId="0" applyFont="1" applyBorder="1" applyAlignment="1">
      <alignment vertical="center"/>
    </xf>
    <xf numFmtId="165" fontId="10" fillId="3" borderId="9" xfId="0" applyNumberFormat="1" applyFont="1" applyFill="1" applyBorder="1" applyAlignment="1" applyProtection="1">
      <alignment vertical="center" wrapText="1"/>
    </xf>
    <xf numFmtId="0" fontId="2" fillId="0" borderId="26" xfId="0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165" fontId="10" fillId="3" borderId="11" xfId="0" applyNumberFormat="1" applyFont="1" applyFill="1" applyBorder="1" applyAlignment="1" applyProtection="1">
      <alignment vertical="center" wrapText="1"/>
    </xf>
    <xf numFmtId="164" fontId="10" fillId="3" borderId="27" xfId="0" applyNumberFormat="1" applyFont="1" applyFill="1" applyBorder="1" applyAlignment="1" applyProtection="1">
      <alignment vertical="center" wrapText="1"/>
    </xf>
    <xf numFmtId="0" fontId="2" fillId="0" borderId="28" xfId="0" applyFont="1" applyBorder="1" applyAlignment="1">
      <alignment vertical="center"/>
    </xf>
    <xf numFmtId="164" fontId="10" fillId="3" borderId="22" xfId="0" applyNumberFormat="1" applyFont="1" applyFill="1" applyBorder="1" applyAlignment="1" applyProtection="1">
      <alignment vertical="center" wrapText="1"/>
    </xf>
    <xf numFmtId="0" fontId="3" fillId="0" borderId="0" xfId="0" applyFont="1" applyAlignment="1">
      <alignment horizontal="right" vertical="center"/>
    </xf>
    <xf numFmtId="49" fontId="5" fillId="4" borderId="27" xfId="0" applyNumberFormat="1" applyFont="1" applyFill="1" applyBorder="1" applyAlignment="1" applyProtection="1">
      <alignment vertical="center" wrapText="1"/>
      <protection locked="0"/>
    </xf>
    <xf numFmtId="0" fontId="2" fillId="0" borderId="29" xfId="0" applyFont="1" applyBorder="1" applyAlignment="1">
      <alignment vertical="center"/>
    </xf>
    <xf numFmtId="164" fontId="10" fillId="3" borderId="9" xfId="0" applyNumberFormat="1" applyFont="1" applyFill="1" applyBorder="1" applyAlignment="1" applyProtection="1">
      <alignment vertical="center" wrapText="1"/>
    </xf>
    <xf numFmtId="166" fontId="16" fillId="0" borderId="0" xfId="0" applyNumberFormat="1" applyFont="1" applyAlignment="1">
      <alignment vertical="center"/>
    </xf>
    <xf numFmtId="0" fontId="1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30"/>
  <sheetViews>
    <sheetView tabSelected="1" topLeftCell="A77" zoomScale="50" zoomScaleNormal="50" workbookViewId="0">
      <selection activeCell="T81" sqref="T81"/>
    </sheetView>
  </sheetViews>
  <sheetFormatPr defaultColWidth="8.88671875" defaultRowHeight="13.8" x14ac:dyDescent="0.3"/>
  <cols>
    <col min="1" max="1" width="0.88671875" style="64" customWidth="1"/>
    <col min="2" max="2" width="8.88671875" style="64" hidden="1" customWidth="1"/>
    <col min="3" max="3" width="41.88671875" style="64" customWidth="1"/>
    <col min="4" max="4" width="8.88671875" style="64" hidden="1" customWidth="1"/>
    <col min="5" max="5" width="12.88671875" style="64" customWidth="1"/>
    <col min="6" max="19" width="24.88671875" style="64" customWidth="1"/>
    <col min="20" max="20" width="9.88671875" style="64" bestFit="1" customWidth="1"/>
    <col min="21" max="16384" width="8.88671875" style="64"/>
  </cols>
  <sheetData>
    <row r="2" spans="2:19" ht="29.85" customHeight="1" x14ac:dyDescent="0.3">
      <c r="C2" s="80" t="s">
        <v>0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</row>
    <row r="3" spans="2:19" ht="15.6" x14ac:dyDescent="0.3">
      <c r="C3" s="74" t="s">
        <v>1</v>
      </c>
      <c r="E3" s="50" t="s">
        <v>87</v>
      </c>
    </row>
    <row r="4" spans="2:19" ht="15.6" x14ac:dyDescent="0.3">
      <c r="C4" s="74" t="s">
        <v>2</v>
      </c>
      <c r="E4" s="41" t="s">
        <v>88</v>
      </c>
      <c r="F4" s="41"/>
    </row>
    <row r="5" spans="2:19" ht="26.1" customHeight="1" x14ac:dyDescent="0.3">
      <c r="C5" s="79" t="s">
        <v>3</v>
      </c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</row>
    <row r="6" spans="2:19" s="18" customFormat="1" ht="6.6" x14ac:dyDescent="0.3"/>
    <row r="7" spans="2:19" s="18" customFormat="1" ht="6.6" x14ac:dyDescent="0.3"/>
    <row r="8" spans="2:19" s="18" customFormat="1" ht="6.6" x14ac:dyDescent="0.3"/>
    <row r="9" spans="2:19" s="17" customFormat="1" ht="31.2" x14ac:dyDescent="0.3">
      <c r="B9" s="2"/>
      <c r="C9" s="2" t="s">
        <v>4</v>
      </c>
      <c r="D9" s="2"/>
      <c r="E9" s="2" t="s">
        <v>5</v>
      </c>
      <c r="F9" s="2" t="s">
        <v>7</v>
      </c>
    </row>
    <row r="10" spans="2:19" s="19" customFormat="1" ht="12" x14ac:dyDescent="0.3">
      <c r="B10" s="3"/>
      <c r="C10" s="3"/>
      <c r="D10" s="3"/>
      <c r="E10" s="3"/>
      <c r="F10" s="3" t="s">
        <v>8</v>
      </c>
    </row>
    <row r="11" spans="2:19" ht="46.8" x14ac:dyDescent="0.3">
      <c r="B11" s="10"/>
      <c r="C11" s="20" t="s">
        <v>6</v>
      </c>
      <c r="D11" s="10"/>
      <c r="E11" s="21">
        <v>25</v>
      </c>
      <c r="F11" s="36" t="s">
        <v>86</v>
      </c>
    </row>
    <row r="12" spans="2:19" x14ac:dyDescent="0.3">
      <c r="B12" s="1"/>
      <c r="C12" s="1"/>
      <c r="D12" s="1"/>
      <c r="E12" s="1"/>
      <c r="F12" s="1"/>
    </row>
    <row r="15" spans="2:19" ht="26.1" customHeight="1" x14ac:dyDescent="0.3">
      <c r="C15" s="79" t="s">
        <v>9</v>
      </c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</row>
    <row r="16" spans="2:19" s="18" customFormat="1" ht="6.6" x14ac:dyDescent="0.3"/>
    <row r="17" spans="2:6" s="18" customFormat="1" ht="6.6" x14ac:dyDescent="0.3"/>
    <row r="18" spans="2:6" s="18" customFormat="1" ht="6.6" x14ac:dyDescent="0.3"/>
    <row r="19" spans="2:6" s="17" customFormat="1" ht="15.6" x14ac:dyDescent="0.3">
      <c r="B19" s="2"/>
      <c r="C19" s="2" t="s">
        <v>4</v>
      </c>
      <c r="D19" s="2"/>
      <c r="E19" s="2" t="s">
        <v>5</v>
      </c>
      <c r="F19" s="2" t="s">
        <v>12</v>
      </c>
    </row>
    <row r="20" spans="2:6" s="19" customFormat="1" ht="12" x14ac:dyDescent="0.3">
      <c r="B20" s="3"/>
      <c r="C20" s="3"/>
      <c r="D20" s="3"/>
      <c r="E20" s="3"/>
      <c r="F20" s="3" t="s">
        <v>8</v>
      </c>
    </row>
    <row r="21" spans="2:6" ht="52.2" x14ac:dyDescent="0.3">
      <c r="B21" s="13"/>
      <c r="C21" s="22" t="s">
        <v>10</v>
      </c>
      <c r="D21" s="13"/>
      <c r="E21" s="28">
        <v>1</v>
      </c>
      <c r="F21" s="57" t="s">
        <v>89</v>
      </c>
    </row>
    <row r="22" spans="2:6" ht="34.799999999999997" x14ac:dyDescent="0.3">
      <c r="B22" s="15"/>
      <c r="C22" s="30" t="s">
        <v>11</v>
      </c>
      <c r="D22" s="15"/>
      <c r="E22" s="27">
        <v>2</v>
      </c>
      <c r="F22" s="60" t="s">
        <v>90</v>
      </c>
    </row>
    <row r="23" spans="2:6" s="24" customFormat="1" ht="12.75" hidden="1" customHeight="1" x14ac:dyDescent="0.3">
      <c r="B23" s="5"/>
      <c r="C23" s="5"/>
      <c r="D23" s="5"/>
      <c r="E23" s="5"/>
      <c r="F23" s="5"/>
    </row>
    <row r="24" spans="2:6" s="24" customFormat="1" ht="12.75" hidden="1" customHeight="1" x14ac:dyDescent="0.3"/>
    <row r="25" spans="2:6" s="24" customFormat="1" ht="12.75" hidden="1" customHeight="1" x14ac:dyDescent="0.3"/>
    <row r="26" spans="2:6" s="24" customFormat="1" ht="35.25" hidden="1" customHeight="1" x14ac:dyDescent="0.3">
      <c r="C26" s="31" t="s">
        <v>13</v>
      </c>
    </row>
    <row r="27" spans="2:6" s="23" customFormat="1" ht="12.75" hidden="1" customHeight="1" x14ac:dyDescent="0.3"/>
    <row r="28" spans="2:6" s="23" customFormat="1" ht="12.75" hidden="1" customHeight="1" x14ac:dyDescent="0.3"/>
    <row r="29" spans="2:6" s="23" customFormat="1" ht="12.75" hidden="1" customHeight="1" x14ac:dyDescent="0.3"/>
    <row r="30" spans="2:6" s="25" customFormat="1" ht="12.75" hidden="1" customHeight="1" x14ac:dyDescent="0.3">
      <c r="B30" s="7"/>
      <c r="C30" s="7" t="s">
        <v>4</v>
      </c>
      <c r="D30" s="7"/>
      <c r="E30" s="7" t="s">
        <v>5</v>
      </c>
      <c r="F30" s="7" t="s">
        <v>12</v>
      </c>
    </row>
    <row r="31" spans="2:6" s="26" customFormat="1" ht="12.75" hidden="1" customHeight="1" x14ac:dyDescent="0.3">
      <c r="B31" s="6"/>
      <c r="C31" s="6"/>
      <c r="D31" s="6"/>
      <c r="E31" s="6"/>
      <c r="F31" s="6" t="s">
        <v>8</v>
      </c>
    </row>
    <row r="32" spans="2:6" ht="31.2" x14ac:dyDescent="0.3">
      <c r="B32" s="10"/>
      <c r="C32" s="20" t="s">
        <v>14</v>
      </c>
      <c r="D32" s="10"/>
      <c r="E32" s="21">
        <v>3</v>
      </c>
      <c r="F32" s="32" t="s">
        <v>91</v>
      </c>
    </row>
    <row r="33" spans="2:6" s="24" customFormat="1" ht="12.75" hidden="1" customHeight="1" x14ac:dyDescent="0.3">
      <c r="B33" s="5"/>
      <c r="C33" s="5"/>
      <c r="D33" s="5"/>
      <c r="E33" s="5"/>
      <c r="F33" s="5"/>
    </row>
    <row r="34" spans="2:6" s="24" customFormat="1" ht="12.75" hidden="1" customHeight="1" x14ac:dyDescent="0.3"/>
    <row r="35" spans="2:6" s="24" customFormat="1" ht="12.75" hidden="1" customHeight="1" x14ac:dyDescent="0.3"/>
    <row r="36" spans="2:6" s="24" customFormat="1" ht="35.25" hidden="1" customHeight="1" x14ac:dyDescent="0.3">
      <c r="C36" s="31" t="s">
        <v>15</v>
      </c>
    </row>
    <row r="37" spans="2:6" s="23" customFormat="1" ht="12.75" hidden="1" customHeight="1" x14ac:dyDescent="0.3"/>
    <row r="38" spans="2:6" s="23" customFormat="1" ht="12.75" hidden="1" customHeight="1" x14ac:dyDescent="0.3"/>
    <row r="39" spans="2:6" s="23" customFormat="1" ht="12.75" hidden="1" customHeight="1" x14ac:dyDescent="0.3"/>
    <row r="40" spans="2:6" s="25" customFormat="1" ht="12.75" hidden="1" customHeight="1" x14ac:dyDescent="0.3">
      <c r="B40" s="7"/>
      <c r="C40" s="7" t="s">
        <v>4</v>
      </c>
      <c r="D40" s="7"/>
      <c r="E40" s="7" t="s">
        <v>5</v>
      </c>
      <c r="F40" s="7" t="s">
        <v>12</v>
      </c>
    </row>
    <row r="41" spans="2:6" s="26" customFormat="1" ht="12.75" hidden="1" customHeight="1" x14ac:dyDescent="0.3">
      <c r="B41" s="6"/>
      <c r="C41" s="6"/>
      <c r="D41" s="6"/>
      <c r="E41" s="6"/>
      <c r="F41" s="6" t="s">
        <v>8</v>
      </c>
    </row>
    <row r="42" spans="2:6" ht="31.2" x14ac:dyDescent="0.3">
      <c r="B42" s="10"/>
      <c r="C42" s="20" t="s">
        <v>16</v>
      </c>
      <c r="D42" s="10"/>
      <c r="E42" s="21">
        <v>4</v>
      </c>
      <c r="F42" s="32" t="s">
        <v>92</v>
      </c>
    </row>
    <row r="43" spans="2:6" s="24" customFormat="1" ht="12.75" hidden="1" customHeight="1" x14ac:dyDescent="0.3">
      <c r="B43" s="5"/>
      <c r="C43" s="5"/>
      <c r="D43" s="5"/>
      <c r="E43" s="5"/>
      <c r="F43" s="5"/>
    </row>
    <row r="44" spans="2:6" s="24" customFormat="1" ht="12.75" hidden="1" customHeight="1" x14ac:dyDescent="0.3"/>
    <row r="45" spans="2:6" s="24" customFormat="1" ht="12.75" hidden="1" customHeight="1" x14ac:dyDescent="0.3"/>
    <row r="46" spans="2:6" s="24" customFormat="1" ht="35.25" hidden="1" customHeight="1" x14ac:dyDescent="0.3">
      <c r="C46" s="31" t="s">
        <v>17</v>
      </c>
    </row>
    <row r="47" spans="2:6" s="23" customFormat="1" ht="12.75" hidden="1" customHeight="1" x14ac:dyDescent="0.3"/>
    <row r="48" spans="2:6" s="23" customFormat="1" ht="12.75" hidden="1" customHeight="1" x14ac:dyDescent="0.3"/>
    <row r="49" spans="2:6" s="23" customFormat="1" ht="12.75" hidden="1" customHeight="1" x14ac:dyDescent="0.3"/>
    <row r="50" spans="2:6" s="25" customFormat="1" ht="12.75" hidden="1" customHeight="1" x14ac:dyDescent="0.3">
      <c r="B50" s="7"/>
      <c r="C50" s="7" t="s">
        <v>4</v>
      </c>
      <c r="D50" s="7"/>
      <c r="E50" s="7" t="s">
        <v>5</v>
      </c>
      <c r="F50" s="7" t="s">
        <v>12</v>
      </c>
    </row>
    <row r="51" spans="2:6" s="26" customFormat="1" ht="12.75" hidden="1" customHeight="1" x14ac:dyDescent="0.3">
      <c r="B51" s="6"/>
      <c r="C51" s="6"/>
      <c r="D51" s="6"/>
      <c r="E51" s="6"/>
      <c r="F51" s="6" t="s">
        <v>8</v>
      </c>
    </row>
    <row r="52" spans="2:6" ht="31.2" x14ac:dyDescent="0.3">
      <c r="B52" s="10"/>
      <c r="C52" s="20" t="s">
        <v>18</v>
      </c>
      <c r="D52" s="10"/>
      <c r="E52" s="21">
        <v>5</v>
      </c>
      <c r="F52" s="32" t="s">
        <v>93</v>
      </c>
    </row>
    <row r="53" spans="2:6" s="24" customFormat="1" ht="12.75" hidden="1" customHeight="1" x14ac:dyDescent="0.3">
      <c r="B53" s="5"/>
      <c r="C53" s="5"/>
      <c r="D53" s="5"/>
      <c r="E53" s="5"/>
      <c r="F53" s="5"/>
    </row>
    <row r="54" spans="2:6" s="24" customFormat="1" ht="12.75" hidden="1" customHeight="1" x14ac:dyDescent="0.3"/>
    <row r="55" spans="2:6" s="24" customFormat="1" ht="12.75" hidden="1" customHeight="1" x14ac:dyDescent="0.3"/>
    <row r="56" spans="2:6" s="24" customFormat="1" ht="35.25" hidden="1" customHeight="1" x14ac:dyDescent="0.3">
      <c r="C56" s="31" t="s">
        <v>19</v>
      </c>
    </row>
    <row r="57" spans="2:6" s="23" customFormat="1" ht="12.75" hidden="1" customHeight="1" x14ac:dyDescent="0.3"/>
    <row r="58" spans="2:6" s="23" customFormat="1" ht="12.75" hidden="1" customHeight="1" x14ac:dyDescent="0.3"/>
    <row r="59" spans="2:6" s="23" customFormat="1" ht="12.75" hidden="1" customHeight="1" x14ac:dyDescent="0.3"/>
    <row r="60" spans="2:6" s="25" customFormat="1" ht="12.75" hidden="1" customHeight="1" x14ac:dyDescent="0.3">
      <c r="B60" s="7"/>
      <c r="C60" s="7" t="s">
        <v>4</v>
      </c>
      <c r="D60" s="7"/>
      <c r="E60" s="7" t="s">
        <v>5</v>
      </c>
      <c r="F60" s="7" t="s">
        <v>12</v>
      </c>
    </row>
    <row r="61" spans="2:6" s="26" customFormat="1" ht="12.75" hidden="1" customHeight="1" x14ac:dyDescent="0.3">
      <c r="B61" s="6"/>
      <c r="C61" s="6"/>
      <c r="D61" s="6"/>
      <c r="E61" s="6"/>
      <c r="F61" s="6" t="s">
        <v>8</v>
      </c>
    </row>
    <row r="62" spans="2:6" ht="52.2" x14ac:dyDescent="0.3">
      <c r="B62" s="13"/>
      <c r="C62" s="22" t="s">
        <v>20</v>
      </c>
      <c r="D62" s="13"/>
      <c r="E62" s="28">
        <v>6</v>
      </c>
      <c r="F62" s="52" t="s">
        <v>94</v>
      </c>
    </row>
    <row r="63" spans="2:6" ht="31.2" x14ac:dyDescent="0.3">
      <c r="B63" s="15"/>
      <c r="C63" s="30" t="s">
        <v>21</v>
      </c>
      <c r="D63" s="15"/>
      <c r="E63" s="27">
        <v>7</v>
      </c>
      <c r="F63" s="62"/>
    </row>
    <row r="64" spans="2:6" x14ac:dyDescent="0.3">
      <c r="B64" s="1"/>
      <c r="C64" s="1"/>
      <c r="D64" s="1"/>
      <c r="E64" s="1"/>
      <c r="F64" s="1"/>
    </row>
    <row r="67" spans="2:19" ht="26.1" customHeight="1" x14ac:dyDescent="0.3">
      <c r="C67" s="79" t="s">
        <v>22</v>
      </c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</row>
    <row r="68" spans="2:19" s="18" customFormat="1" ht="6.6" x14ac:dyDescent="0.3"/>
    <row r="69" spans="2:19" s="18" customFormat="1" ht="6.6" x14ac:dyDescent="0.3"/>
    <row r="70" spans="2:19" s="18" customFormat="1" ht="6.6" x14ac:dyDescent="0.3"/>
    <row r="71" spans="2:19" s="17" customFormat="1" ht="31.2" x14ac:dyDescent="0.3">
      <c r="B71" s="2"/>
      <c r="C71" s="2" t="s">
        <v>4</v>
      </c>
      <c r="D71" s="2"/>
      <c r="E71" s="2" t="s">
        <v>5</v>
      </c>
      <c r="F71" s="2" t="s">
        <v>7</v>
      </c>
    </row>
    <row r="72" spans="2:19" s="19" customFormat="1" ht="12" x14ac:dyDescent="0.3">
      <c r="B72" s="3"/>
      <c r="C72" s="3"/>
      <c r="D72" s="3"/>
      <c r="E72" s="3"/>
      <c r="F72" s="3" t="s">
        <v>8</v>
      </c>
    </row>
    <row r="73" spans="2:19" ht="78" x14ac:dyDescent="0.3">
      <c r="B73" s="10"/>
      <c r="C73" s="20" t="s">
        <v>23</v>
      </c>
      <c r="D73" s="10"/>
      <c r="E73" s="21">
        <v>30</v>
      </c>
      <c r="F73" s="36"/>
    </row>
    <row r="74" spans="2:19" x14ac:dyDescent="0.3">
      <c r="B74" s="1"/>
      <c r="C74" s="1"/>
      <c r="D74" s="1"/>
      <c r="E74" s="1"/>
      <c r="F74" s="1"/>
    </row>
    <row r="77" spans="2:19" ht="26.1" customHeight="1" x14ac:dyDescent="0.3">
      <c r="C77" s="79" t="s">
        <v>24</v>
      </c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</row>
    <row r="78" spans="2:19" s="18" customFormat="1" ht="6.6" x14ac:dyDescent="0.3"/>
    <row r="79" spans="2:19" s="18" customFormat="1" ht="6.6" x14ac:dyDescent="0.3"/>
    <row r="80" spans="2:19" s="18" customFormat="1" ht="6.6" x14ac:dyDescent="0.3"/>
    <row r="81" spans="2:20" s="17" customFormat="1" ht="187.2" x14ac:dyDescent="0.3">
      <c r="B81" s="2"/>
      <c r="C81" s="2" t="s">
        <v>25</v>
      </c>
      <c r="D81" s="2"/>
      <c r="E81" s="2" t="s">
        <v>5</v>
      </c>
      <c r="F81" s="2" t="s">
        <v>38</v>
      </c>
      <c r="G81" s="2" t="s">
        <v>39</v>
      </c>
      <c r="H81" s="2" t="s">
        <v>41</v>
      </c>
      <c r="I81" s="2" t="s">
        <v>43</v>
      </c>
      <c r="J81" s="2" t="s">
        <v>45</v>
      </c>
      <c r="K81" s="2" t="s">
        <v>47</v>
      </c>
      <c r="L81" s="2" t="s">
        <v>49</v>
      </c>
      <c r="M81" s="2" t="s">
        <v>51</v>
      </c>
      <c r="N81" s="2" t="s">
        <v>53</v>
      </c>
      <c r="O81" s="2" t="s">
        <v>55</v>
      </c>
      <c r="P81" s="2" t="s">
        <v>57</v>
      </c>
      <c r="Q81" s="2" t="s">
        <v>59</v>
      </c>
      <c r="R81" s="2" t="s">
        <v>61</v>
      </c>
      <c r="S81" s="2" t="s">
        <v>63</v>
      </c>
    </row>
    <row r="82" spans="2:20" s="19" customFormat="1" ht="12" x14ac:dyDescent="0.3">
      <c r="B82" s="3"/>
      <c r="C82" s="3"/>
      <c r="D82" s="3"/>
      <c r="E82" s="3"/>
      <c r="F82" s="3" t="s">
        <v>8</v>
      </c>
      <c r="G82" s="3" t="s">
        <v>40</v>
      </c>
      <c r="H82" s="3" t="s">
        <v>42</v>
      </c>
      <c r="I82" s="3" t="s">
        <v>44</v>
      </c>
      <c r="J82" s="3" t="s">
        <v>46</v>
      </c>
      <c r="K82" s="3" t="s">
        <v>48</v>
      </c>
      <c r="L82" s="3" t="s">
        <v>50</v>
      </c>
      <c r="M82" s="3" t="s">
        <v>52</v>
      </c>
      <c r="N82" s="3" t="s">
        <v>54</v>
      </c>
      <c r="O82" s="3" t="s">
        <v>56</v>
      </c>
      <c r="P82" s="3" t="s">
        <v>58</v>
      </c>
      <c r="Q82" s="3" t="s">
        <v>60</v>
      </c>
      <c r="R82" s="3" t="s">
        <v>62</v>
      </c>
      <c r="S82" s="3" t="s">
        <v>64</v>
      </c>
    </row>
    <row r="83" spans="2:20" ht="17.399999999999999" x14ac:dyDescent="0.3">
      <c r="B83" s="13"/>
      <c r="C83" s="22" t="s">
        <v>26</v>
      </c>
      <c r="D83" s="13"/>
      <c r="E83" s="28">
        <v>101</v>
      </c>
      <c r="F83" s="71">
        <f>H83-G83</f>
        <v>0</v>
      </c>
      <c r="G83" s="12">
        <f t="shared" ref="G83:M83" si="0">G85+G86+G87+G91+G92+G93+G94</f>
        <v>0</v>
      </c>
      <c r="H83" s="12">
        <f t="shared" si="0"/>
        <v>0</v>
      </c>
      <c r="I83" s="12">
        <f t="shared" si="0"/>
        <v>0</v>
      </c>
      <c r="J83" s="12">
        <f t="shared" si="0"/>
        <v>0</v>
      </c>
      <c r="K83" s="12">
        <f t="shared" si="0"/>
        <v>0</v>
      </c>
      <c r="L83" s="12">
        <f t="shared" si="0"/>
        <v>0</v>
      </c>
      <c r="M83" s="12">
        <f t="shared" si="0"/>
        <v>0</v>
      </c>
      <c r="N83" s="47">
        <f>IF(K83=0,0,L83/K83)*(100)</f>
        <v>0</v>
      </c>
      <c r="O83" s="12">
        <f>Q83-P83</f>
        <v>0</v>
      </c>
      <c r="P83" s="12">
        <f t="shared" ref="P83:R83" si="1">P85+P86+P87+P91+P92+P93+P94</f>
        <v>0</v>
      </c>
      <c r="Q83" s="12">
        <f t="shared" si="1"/>
        <v>0</v>
      </c>
      <c r="R83" s="12">
        <f t="shared" si="1"/>
        <v>0</v>
      </c>
      <c r="S83" s="73">
        <f>Q83-R83</f>
        <v>0</v>
      </c>
      <c r="T83" s="78">
        <f t="shared" ref="T83:T94" si="2">H83-G83+K83-L83+P83-Q83-M83</f>
        <v>0</v>
      </c>
    </row>
    <row r="84" spans="2:20" ht="17.399999999999999" x14ac:dyDescent="0.3">
      <c r="B84" s="42"/>
      <c r="C84" s="37" t="s">
        <v>27</v>
      </c>
      <c r="D84" s="42"/>
      <c r="E84" s="59"/>
      <c r="F84" s="46"/>
      <c r="G84" s="4"/>
      <c r="H84" s="4"/>
      <c r="I84" s="4"/>
      <c r="J84" s="4"/>
      <c r="K84" s="4"/>
      <c r="L84" s="4"/>
      <c r="M84" s="4"/>
      <c r="N84" s="35"/>
      <c r="O84" s="4"/>
      <c r="P84" s="4"/>
      <c r="Q84" s="4"/>
      <c r="R84" s="4"/>
      <c r="S84" s="39"/>
      <c r="T84" s="78">
        <f t="shared" si="2"/>
        <v>0</v>
      </c>
    </row>
    <row r="85" spans="2:20" ht="46.8" x14ac:dyDescent="0.3">
      <c r="B85" s="42"/>
      <c r="C85" s="37" t="s">
        <v>28</v>
      </c>
      <c r="D85" s="42"/>
      <c r="E85" s="59">
        <v>102</v>
      </c>
      <c r="F85" s="33">
        <f t="shared" ref="F85:F86" si="3">H85-G85</f>
        <v>0</v>
      </c>
      <c r="G85" s="8"/>
      <c r="H85" s="8"/>
      <c r="I85" s="29"/>
      <c r="J85" s="29"/>
      <c r="K85" s="8"/>
      <c r="L85" s="8"/>
      <c r="M85" s="8"/>
      <c r="N85" s="38">
        <f t="shared" ref="N85:N86" si="4">IF(K85=0,0,L85/K85)*(100)</f>
        <v>0</v>
      </c>
      <c r="O85" s="11">
        <f t="shared" ref="O85:O86" si="5">Q85-P85</f>
        <v>0</v>
      </c>
      <c r="P85" s="8"/>
      <c r="Q85" s="8"/>
      <c r="R85" s="8"/>
      <c r="S85" s="40">
        <f t="shared" ref="S85:S86" si="6">Q85-R85</f>
        <v>0</v>
      </c>
      <c r="T85" s="78">
        <f t="shared" si="2"/>
        <v>0</v>
      </c>
    </row>
    <row r="86" spans="2:20" ht="46.8" x14ac:dyDescent="0.3">
      <c r="B86" s="42"/>
      <c r="C86" s="37" t="s">
        <v>29</v>
      </c>
      <c r="D86" s="42"/>
      <c r="E86" s="59">
        <v>103</v>
      </c>
      <c r="F86" s="33">
        <f t="shared" si="3"/>
        <v>0</v>
      </c>
      <c r="G86" s="8"/>
      <c r="H86" s="8"/>
      <c r="I86" s="29"/>
      <c r="J86" s="29"/>
      <c r="K86" s="8"/>
      <c r="L86" s="8"/>
      <c r="M86" s="8"/>
      <c r="N86" s="38">
        <f t="shared" si="4"/>
        <v>0</v>
      </c>
      <c r="O86" s="11">
        <f t="shared" si="5"/>
        <v>0</v>
      </c>
      <c r="P86" s="8"/>
      <c r="Q86" s="8"/>
      <c r="R86" s="8"/>
      <c r="S86" s="40">
        <f t="shared" si="6"/>
        <v>0</v>
      </c>
      <c r="T86" s="78">
        <f t="shared" si="2"/>
        <v>0</v>
      </c>
    </row>
    <row r="87" spans="2:20" ht="62.4" x14ac:dyDescent="0.3">
      <c r="B87" s="42"/>
      <c r="C87" s="37" t="s">
        <v>30</v>
      </c>
      <c r="D87" s="42"/>
      <c r="E87" s="59">
        <v>104</v>
      </c>
      <c r="F87" s="33">
        <f t="shared" ref="F87:M87" si="7">F89+F90</f>
        <v>0</v>
      </c>
      <c r="G87" s="11">
        <f t="shared" si="7"/>
        <v>0</v>
      </c>
      <c r="H87" s="11">
        <f t="shared" si="7"/>
        <v>0</v>
      </c>
      <c r="I87" s="11">
        <f t="shared" si="7"/>
        <v>0</v>
      </c>
      <c r="J87" s="11">
        <f t="shared" si="7"/>
        <v>0</v>
      </c>
      <c r="K87" s="11">
        <f t="shared" si="7"/>
        <v>0</v>
      </c>
      <c r="L87" s="11">
        <f t="shared" si="7"/>
        <v>0</v>
      </c>
      <c r="M87" s="11">
        <f t="shared" si="7"/>
        <v>0</v>
      </c>
      <c r="N87" s="38">
        <f>IF(K87=0,0,L87/K87)*(100)</f>
        <v>0</v>
      </c>
      <c r="O87" s="11">
        <f t="shared" ref="O87:S87" si="8">O89+O90</f>
        <v>0</v>
      </c>
      <c r="P87" s="11">
        <f t="shared" si="8"/>
        <v>0</v>
      </c>
      <c r="Q87" s="11">
        <f t="shared" si="8"/>
        <v>0</v>
      </c>
      <c r="R87" s="11">
        <f t="shared" si="8"/>
        <v>0</v>
      </c>
      <c r="S87" s="40">
        <f t="shared" si="8"/>
        <v>0</v>
      </c>
      <c r="T87" s="78">
        <f t="shared" si="2"/>
        <v>0</v>
      </c>
    </row>
    <row r="88" spans="2:20" ht="17.399999999999999" x14ac:dyDescent="0.3">
      <c r="B88" s="42"/>
      <c r="C88" s="37" t="s">
        <v>31</v>
      </c>
      <c r="D88" s="42"/>
      <c r="E88" s="59"/>
      <c r="F88" s="46"/>
      <c r="G88" s="4"/>
      <c r="H88" s="4"/>
      <c r="I88" s="4"/>
      <c r="J88" s="4"/>
      <c r="K88" s="4"/>
      <c r="L88" s="4"/>
      <c r="M88" s="4"/>
      <c r="N88" s="35"/>
      <c r="O88" s="4"/>
      <c r="P88" s="4"/>
      <c r="Q88" s="4"/>
      <c r="R88" s="4"/>
      <c r="S88" s="39"/>
      <c r="T88" s="78">
        <f t="shared" si="2"/>
        <v>0</v>
      </c>
    </row>
    <row r="89" spans="2:20" ht="62.4" x14ac:dyDescent="0.3">
      <c r="B89" s="42"/>
      <c r="C89" s="51" t="s">
        <v>32</v>
      </c>
      <c r="D89" s="42"/>
      <c r="E89" s="59">
        <v>105</v>
      </c>
      <c r="F89" s="33">
        <f t="shared" ref="F89:F94" si="9">H89-G89</f>
        <v>0</v>
      </c>
      <c r="G89" s="8"/>
      <c r="H89" s="8"/>
      <c r="I89" s="29"/>
      <c r="J89" s="29"/>
      <c r="K89" s="8"/>
      <c r="L89" s="8"/>
      <c r="M89" s="8"/>
      <c r="N89" s="38">
        <f t="shared" ref="N89:N94" si="10">IF(K89=0,0,L89/K89)*(100)</f>
        <v>0</v>
      </c>
      <c r="O89" s="11">
        <f t="shared" ref="O89:O94" si="11">Q89-P89</f>
        <v>0</v>
      </c>
      <c r="P89" s="8"/>
      <c r="Q89" s="8"/>
      <c r="R89" s="8"/>
      <c r="S89" s="40">
        <f t="shared" ref="S89:S94" si="12">Q89-R89</f>
        <v>0</v>
      </c>
      <c r="T89" s="78">
        <f t="shared" si="2"/>
        <v>0</v>
      </c>
    </row>
    <row r="90" spans="2:20" ht="46.8" x14ac:dyDescent="0.3">
      <c r="B90" s="42"/>
      <c r="C90" s="51" t="s">
        <v>33</v>
      </c>
      <c r="D90" s="42"/>
      <c r="E90" s="59">
        <v>106</v>
      </c>
      <c r="F90" s="33">
        <f t="shared" si="9"/>
        <v>0</v>
      </c>
      <c r="G90" s="8"/>
      <c r="H90" s="8"/>
      <c r="I90" s="29"/>
      <c r="J90" s="29"/>
      <c r="K90" s="8"/>
      <c r="L90" s="8"/>
      <c r="M90" s="8"/>
      <c r="N90" s="38">
        <f t="shared" si="10"/>
        <v>0</v>
      </c>
      <c r="O90" s="11">
        <f t="shared" si="11"/>
        <v>0</v>
      </c>
      <c r="P90" s="8"/>
      <c r="Q90" s="8"/>
      <c r="R90" s="8"/>
      <c r="S90" s="40">
        <f t="shared" si="12"/>
        <v>0</v>
      </c>
      <c r="T90" s="78">
        <f t="shared" si="2"/>
        <v>0</v>
      </c>
    </row>
    <row r="91" spans="2:20" ht="31.2" x14ac:dyDescent="0.3">
      <c r="B91" s="42"/>
      <c r="C91" s="37" t="s">
        <v>34</v>
      </c>
      <c r="D91" s="42"/>
      <c r="E91" s="59">
        <v>107</v>
      </c>
      <c r="F91" s="33">
        <f t="shared" si="9"/>
        <v>0</v>
      </c>
      <c r="G91" s="8"/>
      <c r="H91" s="8"/>
      <c r="I91" s="29"/>
      <c r="J91" s="29"/>
      <c r="K91" s="8"/>
      <c r="L91" s="8"/>
      <c r="M91" s="8"/>
      <c r="N91" s="38">
        <f t="shared" si="10"/>
        <v>0</v>
      </c>
      <c r="O91" s="11">
        <f t="shared" si="11"/>
        <v>0</v>
      </c>
      <c r="P91" s="8"/>
      <c r="Q91" s="8"/>
      <c r="R91" s="8"/>
      <c r="S91" s="40">
        <f t="shared" si="12"/>
        <v>0</v>
      </c>
      <c r="T91" s="78">
        <f t="shared" si="2"/>
        <v>0</v>
      </c>
    </row>
    <row r="92" spans="2:20" ht="62.4" x14ac:dyDescent="0.3">
      <c r="B92" s="42"/>
      <c r="C92" s="37" t="s">
        <v>35</v>
      </c>
      <c r="D92" s="42"/>
      <c r="E92" s="59">
        <v>108</v>
      </c>
      <c r="F92" s="33">
        <f t="shared" si="9"/>
        <v>0</v>
      </c>
      <c r="G92" s="8"/>
      <c r="H92" s="8"/>
      <c r="I92" s="29"/>
      <c r="J92" s="29"/>
      <c r="K92" s="8"/>
      <c r="L92" s="8"/>
      <c r="M92" s="8"/>
      <c r="N92" s="38">
        <f t="shared" si="10"/>
        <v>0</v>
      </c>
      <c r="O92" s="11">
        <f t="shared" si="11"/>
        <v>0</v>
      </c>
      <c r="P92" s="8"/>
      <c r="Q92" s="8"/>
      <c r="R92" s="8"/>
      <c r="S92" s="40">
        <f t="shared" si="12"/>
        <v>0</v>
      </c>
      <c r="T92" s="78">
        <f t="shared" si="2"/>
        <v>0</v>
      </c>
    </row>
    <row r="93" spans="2:20" ht="46.8" x14ac:dyDescent="0.3">
      <c r="B93" s="42"/>
      <c r="C93" s="37" t="s">
        <v>36</v>
      </c>
      <c r="D93" s="42"/>
      <c r="E93" s="59">
        <v>109</v>
      </c>
      <c r="F93" s="33">
        <f t="shared" si="9"/>
        <v>0</v>
      </c>
      <c r="G93" s="8"/>
      <c r="H93" s="8"/>
      <c r="I93" s="29"/>
      <c r="J93" s="29"/>
      <c r="K93" s="8"/>
      <c r="L93" s="8"/>
      <c r="M93" s="8"/>
      <c r="N93" s="38">
        <f t="shared" si="10"/>
        <v>0</v>
      </c>
      <c r="O93" s="11">
        <f t="shared" si="11"/>
        <v>0</v>
      </c>
      <c r="P93" s="8"/>
      <c r="Q93" s="8"/>
      <c r="R93" s="8"/>
      <c r="S93" s="40">
        <f t="shared" si="12"/>
        <v>0</v>
      </c>
      <c r="T93" s="78">
        <f t="shared" si="2"/>
        <v>0</v>
      </c>
    </row>
    <row r="94" spans="2:20" ht="62.4" x14ac:dyDescent="0.3">
      <c r="B94" s="15"/>
      <c r="C94" s="30" t="s">
        <v>37</v>
      </c>
      <c r="D94" s="15"/>
      <c r="E94" s="27">
        <v>110</v>
      </c>
      <c r="F94" s="56">
        <f t="shared" si="9"/>
        <v>0</v>
      </c>
      <c r="G94" s="16"/>
      <c r="H94" s="16"/>
      <c r="I94" s="45"/>
      <c r="J94" s="45"/>
      <c r="K94" s="16"/>
      <c r="L94" s="16"/>
      <c r="M94" s="16"/>
      <c r="N94" s="70">
        <f t="shared" si="10"/>
        <v>0</v>
      </c>
      <c r="O94" s="61">
        <f t="shared" si="11"/>
        <v>0</v>
      </c>
      <c r="P94" s="16"/>
      <c r="Q94" s="16"/>
      <c r="R94" s="16"/>
      <c r="S94" s="65">
        <f t="shared" si="12"/>
        <v>0</v>
      </c>
      <c r="T94" s="78">
        <f t="shared" si="2"/>
        <v>0</v>
      </c>
    </row>
    <row r="95" spans="2:20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8" spans="2:19" ht="26.1" customHeight="1" x14ac:dyDescent="0.3">
      <c r="C98" s="79" t="s">
        <v>65</v>
      </c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</row>
    <row r="99" spans="2:19" s="18" customFormat="1" ht="6.6" x14ac:dyDescent="0.3"/>
    <row r="100" spans="2:19" s="18" customFormat="1" ht="6.6" x14ac:dyDescent="0.3"/>
    <row r="101" spans="2:19" s="18" customFormat="1" ht="6.6" x14ac:dyDescent="0.3"/>
    <row r="102" spans="2:19" s="17" customFormat="1" ht="124.8" x14ac:dyDescent="0.3">
      <c r="B102" s="2"/>
      <c r="C102" s="2" t="s">
        <v>25</v>
      </c>
      <c r="D102" s="2"/>
      <c r="E102" s="2" t="s">
        <v>5</v>
      </c>
      <c r="F102" s="2" t="s">
        <v>38</v>
      </c>
      <c r="G102" s="2" t="s">
        <v>67</v>
      </c>
      <c r="H102" s="2" t="s">
        <v>41</v>
      </c>
      <c r="I102" s="2" t="s">
        <v>68</v>
      </c>
      <c r="J102" s="2" t="s">
        <v>69</v>
      </c>
      <c r="K102" s="2" t="s">
        <v>70</v>
      </c>
      <c r="L102" s="2" t="s">
        <v>71</v>
      </c>
      <c r="M102" s="2" t="s">
        <v>51</v>
      </c>
      <c r="N102" s="2" t="s">
        <v>53</v>
      </c>
      <c r="O102" s="2" t="s">
        <v>72</v>
      </c>
      <c r="P102" s="2" t="s">
        <v>73</v>
      </c>
      <c r="Q102" s="2" t="s">
        <v>59</v>
      </c>
      <c r="R102" s="2" t="s">
        <v>61</v>
      </c>
      <c r="S102" s="2" t="s">
        <v>63</v>
      </c>
    </row>
    <row r="103" spans="2:19" s="19" customFormat="1" ht="12" x14ac:dyDescent="0.3">
      <c r="B103" s="3"/>
      <c r="C103" s="3"/>
      <c r="D103" s="3"/>
      <c r="E103" s="3"/>
      <c r="F103" s="3" t="s">
        <v>8</v>
      </c>
      <c r="G103" s="3" t="s">
        <v>40</v>
      </c>
      <c r="H103" s="3" t="s">
        <v>42</v>
      </c>
      <c r="I103" s="3" t="s">
        <v>44</v>
      </c>
      <c r="J103" s="3" t="s">
        <v>46</v>
      </c>
      <c r="K103" s="3" t="s">
        <v>48</v>
      </c>
      <c r="L103" s="3" t="s">
        <v>50</v>
      </c>
      <c r="M103" s="3" t="s">
        <v>52</v>
      </c>
      <c r="N103" s="3" t="s">
        <v>54</v>
      </c>
      <c r="O103" s="3" t="s">
        <v>56</v>
      </c>
      <c r="P103" s="3" t="s">
        <v>58</v>
      </c>
      <c r="Q103" s="3" t="s">
        <v>60</v>
      </c>
      <c r="R103" s="3" t="s">
        <v>62</v>
      </c>
      <c r="S103" s="3" t="s">
        <v>64</v>
      </c>
    </row>
    <row r="104" spans="2:19" ht="31.2" x14ac:dyDescent="0.3">
      <c r="B104" s="10"/>
      <c r="C104" s="20" t="s">
        <v>66</v>
      </c>
      <c r="D104" s="10"/>
      <c r="E104" s="21">
        <v>201</v>
      </c>
      <c r="F104" s="49">
        <f>H104-G104</f>
        <v>0</v>
      </c>
      <c r="G104" s="14"/>
      <c r="H104" s="14"/>
      <c r="I104" s="43"/>
      <c r="J104" s="43"/>
      <c r="K104" s="14"/>
      <c r="L104" s="14"/>
      <c r="M104" s="14"/>
      <c r="N104" s="67">
        <f>IF(K104=0,0,L104/K104)*(100)</f>
        <v>0</v>
      </c>
      <c r="O104" s="77">
        <f>Q104-P104</f>
        <v>0</v>
      </c>
      <c r="P104" s="14"/>
      <c r="Q104" s="14"/>
      <c r="R104" s="14"/>
      <c r="S104" s="53"/>
    </row>
    <row r="105" spans="2:19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8" spans="2:19" ht="26.1" customHeight="1" x14ac:dyDescent="0.3">
      <c r="C108" s="79" t="s">
        <v>74</v>
      </c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</row>
    <row r="109" spans="2:19" s="18" customFormat="1" ht="6.6" x14ac:dyDescent="0.3"/>
    <row r="110" spans="2:19" s="18" customFormat="1" ht="6.6" x14ac:dyDescent="0.3"/>
    <row r="111" spans="2:19" s="18" customFormat="1" ht="6.6" x14ac:dyDescent="0.3"/>
    <row r="112" spans="2:19" s="17" customFormat="1" ht="46.8" x14ac:dyDescent="0.3">
      <c r="B112" s="2"/>
      <c r="C112" s="2" t="s">
        <v>75</v>
      </c>
      <c r="D112" s="2"/>
      <c r="E112" s="2" t="s">
        <v>5</v>
      </c>
      <c r="F112" s="2" t="s">
        <v>78</v>
      </c>
      <c r="G112" s="2" t="s">
        <v>79</v>
      </c>
      <c r="H112" s="2" t="s">
        <v>80</v>
      </c>
      <c r="I112" s="2" t="s">
        <v>81</v>
      </c>
    </row>
    <row r="113" spans="2:19" s="19" customFormat="1" ht="12" x14ac:dyDescent="0.3">
      <c r="B113" s="3"/>
      <c r="C113" s="3"/>
      <c r="D113" s="3"/>
      <c r="E113" s="3"/>
      <c r="F113" s="3" t="s">
        <v>8</v>
      </c>
      <c r="G113" s="3" t="s">
        <v>40</v>
      </c>
      <c r="H113" s="3" t="s">
        <v>42</v>
      </c>
      <c r="I113" s="3" t="s">
        <v>44</v>
      </c>
    </row>
    <row r="114" spans="2:19" ht="52.2" x14ac:dyDescent="0.3">
      <c r="B114" s="13"/>
      <c r="C114" s="22" t="s">
        <v>76</v>
      </c>
      <c r="D114" s="13"/>
      <c r="E114" s="28">
        <v>21</v>
      </c>
      <c r="F114" s="75" t="s">
        <v>95</v>
      </c>
      <c r="G114" s="44" t="s">
        <v>96</v>
      </c>
      <c r="H114" s="44" t="s">
        <v>97</v>
      </c>
      <c r="I114" s="58" t="s">
        <v>98</v>
      </c>
    </row>
    <row r="115" spans="2:19" ht="87" x14ac:dyDescent="0.3">
      <c r="B115" s="15"/>
      <c r="C115" s="30" t="s">
        <v>77</v>
      </c>
      <c r="D115" s="15"/>
      <c r="E115" s="27">
        <v>22</v>
      </c>
      <c r="F115" s="48" t="s">
        <v>99</v>
      </c>
      <c r="G115" s="34" t="s">
        <v>100</v>
      </c>
      <c r="H115" s="34" t="s">
        <v>101</v>
      </c>
      <c r="I115" s="55" t="s">
        <v>102</v>
      </c>
    </row>
    <row r="116" spans="2:19" x14ac:dyDescent="0.3">
      <c r="B116" s="1"/>
      <c r="C116" s="1"/>
      <c r="D116" s="1"/>
      <c r="E116" s="1"/>
      <c r="F116" s="1"/>
      <c r="G116" s="1"/>
      <c r="H116" s="1"/>
      <c r="I116" s="1"/>
    </row>
    <row r="119" spans="2:19" x14ac:dyDescent="0.3">
      <c r="B119" s="54"/>
      <c r="C119" s="1" t="s">
        <v>82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76"/>
    </row>
    <row r="120" spans="2:19" x14ac:dyDescent="0.3">
      <c r="B120" s="68"/>
      <c r="S120" s="72"/>
    </row>
    <row r="121" spans="2:19" x14ac:dyDescent="0.3">
      <c r="B121" s="68"/>
      <c r="C121" s="64" t="s">
        <v>83</v>
      </c>
      <c r="S121" s="72"/>
    </row>
    <row r="122" spans="2:19" x14ac:dyDescent="0.3">
      <c r="B122" s="63"/>
      <c r="C122" s="9" t="s">
        <v>84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66"/>
    </row>
    <row r="129" spans="3:3" hidden="1" x14ac:dyDescent="0.3">
      <c r="C129" s="69" t="s">
        <v>85</v>
      </c>
    </row>
    <row r="130" spans="3:3" hidden="1" x14ac:dyDescent="0.3">
      <c r="C130" s="69" t="s">
        <v>86</v>
      </c>
    </row>
  </sheetData>
  <mergeCells count="7">
    <mergeCell ref="C98:S98"/>
    <mergeCell ref="C108:S108"/>
    <mergeCell ref="C2:S2"/>
    <mergeCell ref="C5:S5"/>
    <mergeCell ref="C15:S15"/>
    <mergeCell ref="C67:S67"/>
    <mergeCell ref="C77:S77"/>
  </mergeCells>
  <dataValidations count="7">
    <dataValidation type="textLength" allowBlank="1" showInputMessage="1" showErrorMessage="1" errorTitle="Ошибка ввода." error="Разрешенная длина строки в ячейке составляет 500 знаков." sqref="F21:F22 F114:I115 F62:F63" xr:uid="{00000000-0002-0000-0000-000000000000}">
      <formula1>0</formula1>
      <formula2>500</formula2>
    </dataValidation>
    <dataValidation type="textLength" allowBlank="1" showInputMessage="1" showErrorMessage="1" errorTitle="Ошибка ввода." error="Разрешенная длина строки в ячейке составляет 13 знаков." prompt="Введите число" sqref="F32" xr:uid="{00000000-0002-0000-0000-000001000000}">
      <formula1>0</formula1>
      <formula2>13</formula2>
    </dataValidation>
    <dataValidation type="textLength" allowBlank="1" showInputMessage="1" showErrorMessage="1" errorTitle="Ошибка ввода." error="Разрешенная длина строки в ячейке составляет 12 знаков." prompt="Введите число" sqref="F42" xr:uid="{00000000-0002-0000-0000-000002000000}">
      <formula1>0</formula1>
      <formula2>12</formula2>
    </dataValidation>
    <dataValidation type="textLength" allowBlank="1" showInputMessage="1" showErrorMessage="1" errorTitle="Ошибка ввода." error="Разрешенная длина строки в ячейке составляет 10 знаков." prompt="Введите число" sqref="F52" xr:uid="{00000000-0002-0000-0000-000003000000}">
      <formula1>0</formula1>
      <formula2>10</formula2>
    </dataValidation>
    <dataValidation type="decimal" allowBlank="1" showErrorMessage="1" errorTitle="Ошибка ввода." error="В ячейку можно записать только число от -999999999999 до 999999999999" prompt="Введите число" sqref="N85:O86 S85:S86 G87:S87 F83:S83 F85:F87 F89:F94 N104:O104 F104 S89:S94 N89:O94" xr:uid="{00000000-0002-0000-0000-000005000000}">
      <formula1>-999999999999</formula1>
      <formula2>999999999999</formula2>
    </dataValidation>
    <dataValidation type="decimal" allowBlank="1" showInputMessage="1" showErrorMessage="1" errorTitle="Ошибка ввода." error="В ячейку можно записать только число от -999999999999 до 999999999999" prompt="Введите число" sqref="P104:S104 G104:M104 P85:R86 P89:R94 G85:M86 G89:M94" xr:uid="{00000000-0002-0000-0000-000006000000}">
      <formula1>-999999999999</formula1>
      <formula2>999999999999</formula2>
    </dataValidation>
    <dataValidation type="list" operator="equal" allowBlank="1" showInputMessage="1" showErrorMessage="1" sqref="F11 F73" xr:uid="{00000000-0002-0000-0000-000021000000}">
      <formula1>$C$128:$C$130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wsParent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Решетова Виктория Витальевна</dc:creator>
  <cp:lastModifiedBy>никуленков егор</cp:lastModifiedBy>
  <dcterms:created xsi:type="dcterms:W3CDTF">2025-07-26T14:37:07Z</dcterms:created>
  <dcterms:modified xsi:type="dcterms:W3CDTF">2025-09-24T03:17:26Z</dcterms:modified>
</cp:coreProperties>
</file>